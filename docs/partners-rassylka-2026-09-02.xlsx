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Рассылка" sheetId="1" state="visible" r:id="rId3"/>
    <sheet name="Письма" sheetId="2" state="visible" r:id="rId4"/>
    <sheet name="Легенда" sheetId="3" state="visible" r:id="rId5"/>
    <sheet name="Сводка" sheetId="4" state="visible" r:id="rId6"/>
  </sheets>
  <definedNames>
    <definedName function="false" hidden="true" localSheetId="0" name="_xlnm._FilterDatabase" vbProcedure="false">Рассылка!$A$1:$W$73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<sst xmlns="http://schemas.openxmlformats.org/spreadsheetml/2006/main" count="1261" uniqueCount="549">
  <si>
    <t xml:space="preserve">День</t>
  </si>
  <si>
    <t xml:space="preserve">Страна</t>
  </si>
  <si>
    <t xml:space="preserve">Тип</t>
  </si>
  <si>
    <t xml:space="preserve">Фирма</t>
  </si>
  <si>
    <t xml:space="preserve">Сайт</t>
  </si>
  <si>
    <t xml:space="preserve">Контактное лицо</t>
  </si>
  <si>
    <t xml:space="preserve">Канал</t>
  </si>
  <si>
    <t xml:space="preserve">Email / форма</t>
  </si>
  <si>
    <t xml:space="preserve">Род занятий</t>
  </si>
  <si>
    <t xml:space="preserve">Резидентство в практиках</t>
  </si>
  <si>
    <t xml:space="preserve">Лицензия / юрстатус</t>
  </si>
  <si>
    <t xml:space="preserve">Языки</t>
  </si>
  <si>
    <t xml:space="preserve">Письмо</t>
  </si>
  <si>
    <t xml:space="preserve">Модель</t>
  </si>
  <si>
    <t xml:space="preserve">Тема письма</t>
  </si>
  <si>
    <t xml:space="preserve">Тело письма</t>
  </si>
  <si>
    <t xml:space="preserve">Зачем эта фирма</t>
  </si>
  <si>
    <t xml:space="preserve">Статус</t>
  </si>
  <si>
    <t xml:space="preserve">Дата отправки</t>
  </si>
  <si>
    <t xml:space="preserve">Дата повтора</t>
  </si>
  <si>
    <t xml:space="preserve">Дата ответа</t>
  </si>
  <si>
    <t xml:space="preserve">Что ответили про деньги</t>
  </si>
  <si>
    <t xml:space="preserve">Заметки</t>
  </si>
  <si>
    <t xml:space="preserve">Португалия</t>
  </si>
  <si>
    <t xml:space="preserve">юрфирма</t>
  </si>
  <si>
    <t xml:space="preserve">Defesa Legal / F+AS</t>
  </si>
  <si>
    <t xml:space="preserve">defesalegal.pt</t>
  </si>
  <si>
    <t xml:space="preserve">Jorge Ferraz</t>
  </si>
  <si>
    <t xml:space="preserve">email</t>
  </si>
  <si>
    <t xml:space="preserve">geral@defesalegal.pt</t>
  </si>
  <si>
    <t xml:space="preserve">бутик: иммиграция, гражданство, недвижимость</t>
  </si>
  <si>
    <t xml:space="preserve">да</t>
  </si>
  <si>
    <t xml:space="preserve">адвокат подтверждён — cédula 9398P</t>
  </si>
  <si>
    <t xml:space="preserve">PT, EN</t>
  </si>
  <si>
    <t xml:space="preserve">B</t>
  </si>
  <si>
    <t xml:space="preserve">бесплатная — закон</t>
  </si>
  <si>
    <t xml:space="preserve">Enquiries about the Portuguese Golden Visa — no fee either way</t>
  </si>
  <si>
    <t xml:space="preserve">Hello,
My name is Alex Bandziuk. I run moveandinvest.com, an independent comparison of residency-by-investment routes in Portugal, Greece, Malta, the UAE and Cyprus. I am not an agency and I sell none of these programmes.
I am writing to ask whether you would take enquiries from readers asking about your jurisdiction. No money passes in either direction, and that is deliberate rather than generous: your professional rules do not permit paying for an introduced client, so I ask for nothing and you would owe nothing.
An enquiry is one person who filled in six fields in their own words — the country, a budget ceiling, a timeline, the goal, a free-text paragraph, a name and an email — and gave explicit consent to be passed to a single adviser. One firm per jurisdiction, never resold, never sent to two firms. The form is at moveandinvest.com/for-partners.
What I get is that readers who write to me get an answer, which is the only thing that makes the site worth running. If you would rather not, one line saying so is enough and I will not write again.
Alex Bandziuk
moveandinvest.com · office@moveandinvest.com</t>
  </si>
  <si>
    <t xml:space="preserve">Единственная реестровая проверка, которая сошлась.</t>
  </si>
  <si>
    <t xml:space="preserve">не отправлено</t>
  </si>
  <si>
    <t xml:space="preserve">LVP Advogados</t>
  </si>
  <si>
    <t xml:space="preserve">lvpadvogados.com</t>
  </si>
  <si>
    <t xml:space="preserve">Joana Torres Fernandes</t>
  </si>
  <si>
    <t xml:space="preserve">enquiries@lvpadvogados.com</t>
  </si>
  <si>
    <t xml:space="preserve">бутик для иностранных клиентов</t>
  </si>
  <si>
    <t xml:space="preserve">не проверялся</t>
  </si>
  <si>
    <t xml:space="preserve">«Clients from more than 150 countries».</t>
  </si>
  <si>
    <t xml:space="preserve">SRS Advogados</t>
  </si>
  <si>
    <t xml:space="preserve">srslegal.pt</t>
  </si>
  <si>
    <t xml:space="preserve">srsglobal@srslegal.pt</t>
  </si>
  <si>
    <t xml:space="preserve">полносервисная, 100+ юристов</t>
  </si>
  <si>
    <t xml:space="preserve">да — Immigration, Golden Visa and Citizenship</t>
  </si>
  <si>
    <t xml:space="preserve">cédula 44416E не сходится</t>
  </si>
  <si>
    <t xml:space="preserve">CMS Portugal</t>
  </si>
  <si>
    <t xml:space="preserve">cms.law</t>
  </si>
  <si>
    <t xml:space="preserve">cms@cmsportugal.com</t>
  </si>
  <si>
    <t xml:space="preserve">международная полносервисная</t>
  </si>
  <si>
    <t xml:space="preserve">да — «Golden Visa since 2012»</t>
  </si>
  <si>
    <t xml:space="preserve">VdA — Vieira de Almeida</t>
  </si>
  <si>
    <t xml:space="preserve">vda.pt</t>
  </si>
  <si>
    <t xml:space="preserve">vieiradealmeida@vda.pt</t>
  </si>
  <si>
    <t xml:space="preserve">международная полносервисная, 330+ юристов</t>
  </si>
  <si>
    <t xml:space="preserve">НЕТ в практиках</t>
  </si>
  <si>
    <t xml:space="preserve">PLMJ</t>
  </si>
  <si>
    <t xml:space="preserve">plmj.com</t>
  </si>
  <si>
    <t xml:space="preserve">plmjlaw@plmj.pt</t>
  </si>
  <si>
    <t xml:space="preserve">полносервисная коммерческая</t>
  </si>
  <si>
    <t xml:space="preserve">RFF Lawyers</t>
  </si>
  <si>
    <t xml:space="preserve">rfflawyers.com</t>
  </si>
  <si>
    <t xml:space="preserve">Rogério Fernandes Ferreira</t>
  </si>
  <si>
    <t xml:space="preserve">форма</t>
  </si>
  <si>
    <t xml:space="preserve">https://www.rfflawyers.com/en/contacts/</t>
  </si>
  <si>
    <t xml:space="preserve">налогово-бизнесовый бутик</t>
  </si>
  <si>
    <t xml:space="preserve">cédula 8074L не открылась</t>
  </si>
  <si>
    <t xml:space="preserve">Лучший контент рынка, но иммиграции в практиках нет.</t>
  </si>
  <si>
    <t xml:space="preserve">Morais Leitão (MLGTS)</t>
  </si>
  <si>
    <t xml:space="preserve">mlgts.pt</t>
  </si>
  <si>
    <t xml:space="preserve">https://www.mlgts.pt/en/about-us/contacts/</t>
  </si>
  <si>
    <t xml:space="preserve">да — в составе трудовой практики</t>
  </si>
  <si>
    <t xml:space="preserve">не юрфирма</t>
  </si>
  <si>
    <t xml:space="preserve">DRP Advisers</t>
  </si>
  <si>
    <t xml:space="preserve">drpadvisers.com</t>
  </si>
  <si>
    <t xml:space="preserve">David Rabi — Founder</t>
  </si>
  <si>
    <t xml:space="preserve">info@drpadvisers.com</t>
  </si>
  <si>
    <t xml:space="preserve">недвижимость + консультанты по Golden Visa</t>
  </si>
  <si>
    <t xml:space="preserve">AMI 21431 (IMPIC)</t>
  </si>
  <si>
    <t xml:space="preserve">EN, PT</t>
  </si>
  <si>
    <t xml:space="preserve">A</t>
  </si>
  <si>
    <t xml:space="preserve">платная</t>
  </si>
  <si>
    <t xml:space="preserve">Enquiries about the Portuguese Golden Visa — on what terms?</t>
  </si>
  <si>
    <t xml:space="preserve">Hello,
My name is Alex Bandziuk. I run moveandinvest.com, an independent comparison of residency-by-investment routes in Portugal, Greece, Malta, the UAE and Cyprus. I am not an agency and I sell none of these programmes.
One question: does your firm pay for enquiries of this kind, and on what basis — per lead, per consultation, per signed client? You would name the terms; there is no price list on my side.
An enquiry is one person who filled in six fields in their own words — the country, a budget ceiling, a timeline, the goal, a free-text paragraph, a name and an email — and gave explicit consent to be passed to a single adviser. One firm per jurisdiction: leads are never resold and never sent to two firms. The form is at moveandinvest.com/for-partners.
If the answer is no, one line saying so is enough and I will not write again.
Alex Bandziuk
moveandinvest.com · office@moveandinvest.com</t>
  </si>
  <si>
    <t xml:space="preserve">Лицензия опубликована.</t>
  </si>
  <si>
    <t xml:space="preserve">Goldcrest Advisers</t>
  </si>
  <si>
    <t xml:space="preserve">portugalbuyersagent.com</t>
  </si>
  <si>
    <t xml:space="preserve">Patricia Casaburi — MD</t>
  </si>
  <si>
    <t xml:space="preserve">info@portugalbuyersagent.com</t>
  </si>
  <si>
    <t xml:space="preserve">независимый байерс-агент</t>
  </si>
  <si>
    <t xml:space="preserve">AMI-23310</t>
  </si>
  <si>
    <t xml:space="preserve">«Portugal's first independent buyer's agent».</t>
  </si>
  <si>
    <t xml:space="preserve">The Buyer's Agent Portugal</t>
  </si>
  <si>
    <t xml:space="preserve">thebuyersagentportugal.com</t>
  </si>
  <si>
    <t xml:space="preserve">Maya de Filippo — Founder</t>
  </si>
  <si>
    <t xml:space="preserve">info@thebuyersagentportugal.com</t>
  </si>
  <si>
    <t xml:space="preserve">байерс-агент для иностранцев</t>
  </si>
  <si>
    <t xml:space="preserve">AMI 23932</t>
  </si>
  <si>
    <t xml:space="preserve">EN</t>
  </si>
  <si>
    <t xml:space="preserve">VIDA Capital</t>
  </si>
  <si>
    <t xml:space="preserve">vida-cap.com</t>
  </si>
  <si>
    <t xml:space="preserve">José Covas — CIO</t>
  </si>
  <si>
    <t xml:space="preserve">ir@vida-cap.com</t>
  </si>
  <si>
    <t xml:space="preserve">фонд: гостиничные активы под ВНЖ</t>
  </si>
  <si>
    <t xml:space="preserve">рег. номер не опубликован; фонд под STAG SCR (CMVM)</t>
  </si>
  <si>
    <t xml:space="preserve">Фондовый маршрут — единственный действующий в Португалии. Дистрибуционные комиссии там норма.</t>
  </si>
  <si>
    <t xml:space="preserve">Visas.pt</t>
  </si>
  <si>
    <t xml:space="preserve">visas.pt</t>
  </si>
  <si>
    <t xml:space="preserve">Jessica Oliveira — Immigration Lawyer</t>
  </si>
  <si>
    <t xml:space="preserve">contact@visas.pt</t>
  </si>
  <si>
    <t xml:space="preserve">визовый сервис, «lawyer-backed»</t>
  </si>
  <si>
    <t xml:space="preserve">не опубликован</t>
  </si>
  <si>
    <t xml:space="preserve">«Lawyer-backed» — не адвокатская практика, но проверить, кто подписывает.</t>
  </si>
  <si>
    <t xml:space="preserve">MoveTo Relocation Agency</t>
  </si>
  <si>
    <t xml:space="preserve">moveto.agency</t>
  </si>
  <si>
    <t xml:space="preserve">Yurchyk Yurii — CEO</t>
  </si>
  <si>
    <t xml:space="preserve">info@movetocascais.com</t>
  </si>
  <si>
    <t xml:space="preserve">релокационное агентство, Эшторил</t>
  </si>
  <si>
    <t xml:space="preserve">EN, PT, RU?</t>
  </si>
  <si>
    <t xml:space="preserve">Язык не подтверждён, имя владельца славянское.</t>
  </si>
  <si>
    <t xml:space="preserve">New Way — Visa &amp; Relocation</t>
  </si>
  <si>
    <t xml:space="preserve">newway.pt</t>
  </si>
  <si>
    <t xml:space="preserve">Carlos Baltasar — CEO</t>
  </si>
  <si>
    <t xml:space="preserve">https://newway.pt/en/</t>
  </si>
  <si>
    <t xml:space="preserve">визы и релокация</t>
  </si>
  <si>
    <t xml:space="preserve">да — D2, не ARI</t>
  </si>
  <si>
    <t xml:space="preserve">Ящика нет, только телефон.</t>
  </si>
  <si>
    <t xml:space="preserve">Portugal Pathways</t>
  </si>
  <si>
    <t xml:space="preserve">portugalpathways.io</t>
  </si>
  <si>
    <t xml:space="preserve">Paul Stannard — Chairman</t>
  </si>
  <si>
    <t xml:space="preserve">https://www.portugalpathways.io/contact</t>
  </si>
  <si>
    <t xml:space="preserve">визы, недвижимость, налоги, консьерж</t>
  </si>
  <si>
    <t xml:space="preserve">Греция</t>
  </si>
  <si>
    <t xml:space="preserve">Tsiricos Law Office</t>
  </si>
  <si>
    <t xml:space="preserve">tsiricos.gr</t>
  </si>
  <si>
    <t xml:space="preserve">Takis Th. Tsiricos</t>
  </si>
  <si>
    <t xml:space="preserve">info@tsiricos.gr</t>
  </si>
  <si>
    <t xml:space="preserve">бутик: недвижимость, golden visa</t>
  </si>
  <si>
    <t xml:space="preserve">реестр не открывался</t>
  </si>
  <si>
    <t xml:space="preserve">EN, GR</t>
  </si>
  <si>
    <t xml:space="preserve">Enquiries about the Greek Golden Visa — on what terms?</t>
  </si>
  <si>
    <t xml:space="preserve">Самый точный греческий контент.</t>
  </si>
  <si>
    <t xml:space="preserve">Georgaki &amp; Partners</t>
  </si>
  <si>
    <t xml:space="preserve">georgakilawfirm.com</t>
  </si>
  <si>
    <t xml:space="preserve">Christina Georgaki</t>
  </si>
  <si>
    <t xml:space="preserve">info@georgakilawfirm.com</t>
  </si>
  <si>
    <t xml:space="preserve">многопрофильная, сильный golden visa</t>
  </si>
  <si>
    <t xml:space="preserve">да — заявляют 6000 ВНЖ</t>
  </si>
  <si>
    <t xml:space="preserve">EN, GR, RU, TR, DE, FR, HE</t>
  </si>
  <si>
    <t xml:space="preserve">Русский подтверждён. Единственный такой кандидат в Греции.</t>
  </si>
  <si>
    <t xml:space="preserve">Risvas &amp; Associates</t>
  </si>
  <si>
    <t xml:space="preserve">risvaslaw.gr</t>
  </si>
  <si>
    <t xml:space="preserve">info@risvaslaw.gr</t>
  </si>
  <si>
    <t xml:space="preserve">бутик, инвестиционная миграция</t>
  </si>
  <si>
    <t xml:space="preserve">адрес совпал с прошлой проверкой</t>
  </si>
  <si>
    <t xml:space="preserve">Valmas Associates</t>
  </si>
  <si>
    <t xml:space="preserve">athenslawoffice.com</t>
  </si>
  <si>
    <t xml:space="preserve">info@athenslawoffice.com</t>
  </si>
  <si>
    <t xml:space="preserve">недвижимость и иммиграция</t>
  </si>
  <si>
    <t xml:space="preserve">лицензия 30492 — самопубликация</t>
  </si>
  <si>
    <t xml:space="preserve">Hellenic Law Firm</t>
  </si>
  <si>
    <t xml:space="preserve">helleniclawfirm.com</t>
  </si>
  <si>
    <t xml:space="preserve">info@helleniclawfirm.com</t>
  </si>
  <si>
    <t xml:space="preserve">бутик для состоятельных, 3 партнёра</t>
  </si>
  <si>
    <t xml:space="preserve">Varnavas Law</t>
  </si>
  <si>
    <t xml:space="preserve">varnavas.gr</t>
  </si>
  <si>
    <t xml:space="preserve">legal@varnavas.gr</t>
  </si>
  <si>
    <t xml:space="preserve">полносервисный бутик, «Golden Visa Desk»</t>
  </si>
  <si>
    <t xml:space="preserve">Пересечение по трафику есть.</t>
  </si>
  <si>
    <t xml:space="preserve">Amoiridis Law Services</t>
  </si>
  <si>
    <t xml:space="preserve">law-services.gr</t>
  </si>
  <si>
    <t xml:space="preserve">Charalampos F. Amoiridis</t>
  </si>
  <si>
    <t xml:space="preserve">https://www.law-services.gr/contact-alternative/</t>
  </si>
  <si>
    <t xml:space="preserve">споры и услуги иностранцам</t>
  </si>
  <si>
    <t xml:space="preserve">номера коллегии нет</t>
  </si>
  <si>
    <t xml:space="preserve">EN, GR, RU</t>
  </si>
  <si>
    <t xml:space="preserve">Адвокаты названы, номера — нет.</t>
  </si>
  <si>
    <t xml:space="preserve">Ellas Estate DS Group AE</t>
  </si>
  <si>
    <t xml:space="preserve">ellasestate.com</t>
  </si>
  <si>
    <t xml:space="preserve">Damianos Sachmpazidis — Chairman</t>
  </si>
  <si>
    <t xml:space="preserve">info@ellasestate.com</t>
  </si>
  <si>
    <t xml:space="preserve">недвижимость + сопровождение Golden Visa</t>
  </si>
  <si>
    <t xml:space="preserve">ΓΕΜΗ 181608506000, ΑΦΜ 802724638</t>
  </si>
  <si>
    <t xml:space="preserve">Регистрация опубликована полностью.</t>
  </si>
  <si>
    <t xml:space="preserve">Golden Visa Greece (Energopiisi SA)</t>
  </si>
  <si>
    <t xml:space="preserve">goldenvisa-greece.com</t>
  </si>
  <si>
    <t xml:space="preserve">Mary Tsiganou — CEO</t>
  </si>
  <si>
    <t xml:space="preserve">info@goldenvisa-greece.com</t>
  </si>
  <si>
    <t xml:space="preserve">инвестиции и управление в Греции</t>
  </si>
  <si>
    <t xml:space="preserve">CRN 120005201000</t>
  </si>
  <si>
    <t xml:space="preserve">Adonis Group</t>
  </si>
  <si>
    <t xml:space="preserve">adonisgroup.gr</t>
  </si>
  <si>
    <t xml:space="preserve">Dr Meisam Sabour — CEO</t>
  </si>
  <si>
    <t xml:space="preserve">consultant@adoniss.gr</t>
  </si>
  <si>
    <t xml:space="preserve">недвижимость и ВНЖ через покупку</t>
  </si>
  <si>
    <t xml:space="preserve">EN, GR, FA?</t>
  </si>
  <si>
    <t xml:space="preserve">ВНИМАНИЕ: домен почты adoniss.gr не совпадает с сайтом adonisgroup.gr — проверить вручную.</t>
  </si>
  <si>
    <t xml:space="preserve">Vista Estate</t>
  </si>
  <si>
    <t xml:space="preserve">vistaestate.gr</t>
  </si>
  <si>
    <t xml:space="preserve">Giorgos Gavriilidis — MD</t>
  </si>
  <si>
    <t xml:space="preserve">info@vistaestate.gr</t>
  </si>
  <si>
    <t xml:space="preserve">девелопмент и управление активами</t>
  </si>
  <si>
    <t xml:space="preserve">182340104000 (формат ΓΕΜΗ, не подтверждён)</t>
  </si>
  <si>
    <t xml:space="preserve">GL Real Estate</t>
  </si>
  <si>
    <t xml:space="preserve">glrealestate.gr</t>
  </si>
  <si>
    <t xml:space="preserve">Grigoris Latsios — Founder</t>
  </si>
  <si>
    <t xml:space="preserve">grigorislatsios@glrealestate.gr</t>
  </si>
  <si>
    <t xml:space="preserve">риэлторское бюро (μεσιτικό γραφείο)</t>
  </si>
  <si>
    <t xml:space="preserve">ΓΕΜΗ 165319006000</t>
  </si>
  <si>
    <t xml:space="preserve">GR, EN</t>
  </si>
  <si>
    <t xml:space="preserve">Адрес личный, не общий.</t>
  </si>
  <si>
    <t xml:space="preserve">Cityhabitat Greece</t>
  </si>
  <si>
    <t xml:space="preserve">cityhabitat.gr</t>
  </si>
  <si>
    <t xml:space="preserve">Nikos Sepentzis — Founder</t>
  </si>
  <si>
    <t xml:space="preserve">не найден</t>
  </si>
  <si>
    <t xml:space="preserve">недвижимость под Golden Visa, с 2004</t>
  </si>
  <si>
    <t xml:space="preserve">Адреса и формы найти не удалось.</t>
  </si>
  <si>
    <t xml:space="preserve">Golden Visa Experts</t>
  </si>
  <si>
    <t xml:space="preserve">goldenvisaexperts.com</t>
  </si>
  <si>
    <t xml:space="preserve">Theo Groutsis — licensed agent</t>
  </si>
  <si>
    <t xml:space="preserve">консультации по недвижимости и визам</t>
  </si>
  <si>
    <t xml:space="preserve">Адреса найти не удалось.</t>
  </si>
  <si>
    <t xml:space="preserve">Gate Greece Properties</t>
  </si>
  <si>
    <t xml:space="preserve">greece-golden-visa.com</t>
  </si>
  <si>
    <t xml:space="preserve">Giannis Mantonanakis — MD</t>
  </si>
  <si>
    <t xml:space="preserve">enquiry@greece-properties-gate.com</t>
  </si>
  <si>
    <t xml:space="preserve">агентство недвижимости</t>
  </si>
  <si>
    <t xml:space="preserve">В §3 документа помечены как «не юрфирма» — теперь это не дисквалификация, а тип.</t>
  </si>
  <si>
    <t xml:space="preserve">Мальта</t>
  </si>
  <si>
    <t xml:space="preserve">Attard Baldacchino</t>
  </si>
  <si>
    <t xml:space="preserve">attardbaldacchino.com</t>
  </si>
  <si>
    <t xml:space="preserve">Dr Russell Attard Baldacchino</t>
  </si>
  <si>
    <t xml:space="preserve">info@attardbaldacchino.com</t>
  </si>
  <si>
    <t xml:space="preserve">бутик: резидентство и релокация</t>
  </si>
  <si>
    <t xml:space="preserve">warranted Maltese Advocate + агент RES-BALD</t>
  </si>
  <si>
    <t xml:space="preserve">EN + 7 языков</t>
  </si>
  <si>
    <t xml:space="preserve">Enquiries about the MPRP — no fee either way</t>
  </si>
  <si>
    <t xml:space="preserve">Лучшее совпадение из всех стран.</t>
  </si>
  <si>
    <t xml:space="preserve">Mifsud &amp; Mifsud Advocates</t>
  </si>
  <si>
    <t xml:space="preserve">mifsudadvocates.com.mt</t>
  </si>
  <si>
    <t xml:space="preserve">Dr Malcolm Mifsud</t>
  </si>
  <si>
    <t xml:space="preserve">info@mifsudadvocates.com.mt</t>
  </si>
  <si>
    <t xml:space="preserve">многопрофильная универсальная</t>
  </si>
  <si>
    <t xml:space="preserve">агент RES-MIFS</t>
  </si>
  <si>
    <t xml:space="preserve">Прямо называют C-181/23.</t>
  </si>
  <si>
    <t xml:space="preserve">GVZH Advocates</t>
  </si>
  <si>
    <t xml:space="preserve">gvzh.mt</t>
  </si>
  <si>
    <t xml:space="preserve">Dr Ann-Marie Bugeja</t>
  </si>
  <si>
    <t xml:space="preserve">info@gvzh.mt</t>
  </si>
  <si>
    <t xml:space="preserve">корпоративная, &gt;50 специалистов</t>
  </si>
  <si>
    <t xml:space="preserve">агент RES-GVZH</t>
  </si>
  <si>
    <t xml:space="preserve">Muscat Azzopardi &amp; Associates</t>
  </si>
  <si>
    <t xml:space="preserve">ma-advocates.com</t>
  </si>
  <si>
    <t xml:space="preserve">Dr James Muscat Azzopardi</t>
  </si>
  <si>
    <t xml:space="preserve">mail@ma-advocates.com</t>
  </si>
  <si>
    <t xml:space="preserve">private client для HNWI</t>
  </si>
  <si>
    <t xml:space="preserve">агент RES-MUSC</t>
  </si>
  <si>
    <t xml:space="preserve">WH Partners</t>
  </si>
  <si>
    <t xml:space="preserve">whpartners.eu</t>
  </si>
  <si>
    <t xml:space="preserve">contact@whpartners.eu</t>
  </si>
  <si>
    <t xml:space="preserve">мультиюрисдикционная, регулируемые отрасли</t>
  </si>
  <si>
    <t xml:space="preserve">агент RES-WHPA</t>
  </si>
  <si>
    <t xml:space="preserve">EN + ящик poland@</t>
  </si>
  <si>
    <t xml:space="preserve">Единственный польский след во всех четырёх странах.</t>
  </si>
  <si>
    <t xml:space="preserve">Fenech &amp; Fenech Advocates</t>
  </si>
  <si>
    <t xml:space="preserve">fenechlaw.com</t>
  </si>
  <si>
    <t xml:space="preserve">info@fenechlaw.com</t>
  </si>
  <si>
    <t xml:space="preserve">крупная полносервисная, с 1891</t>
  </si>
  <si>
    <t xml:space="preserve">агент RES-FENE</t>
  </si>
  <si>
    <t xml:space="preserve">GTG</t>
  </si>
  <si>
    <t xml:space="preserve">gtg.com.mt</t>
  </si>
  <si>
    <t xml:space="preserve">info@gtg.com.mt</t>
  </si>
  <si>
    <t xml:space="preserve">корпоративная: финтех, M&amp;A</t>
  </si>
  <si>
    <t xml:space="preserve">агент RES-GTLG</t>
  </si>
  <si>
    <t xml:space="preserve">Mamo TCV Advocates</t>
  </si>
  <si>
    <t xml:space="preserve">mamotcv.com</t>
  </si>
  <si>
    <t xml:space="preserve">info@mamotcv.com</t>
  </si>
  <si>
    <t xml:space="preserve">многопрофильная, финансы</t>
  </si>
  <si>
    <t xml:space="preserve">агент RES-MAMO</t>
  </si>
  <si>
    <t xml:space="preserve">Dingli &amp; Dingli Law Firm</t>
  </si>
  <si>
    <t xml:space="preserve">dingli.com.mt</t>
  </si>
  <si>
    <t xml:space="preserve">info@dingli.com.mt</t>
  </si>
  <si>
    <t xml:space="preserve">бутик: судоходство, налоги</t>
  </si>
  <si>
    <t xml:space="preserve">агент RES-DING</t>
  </si>
  <si>
    <t xml:space="preserve">Sciberras Advocates</t>
  </si>
  <si>
    <t xml:space="preserve">sciberras.legal</t>
  </si>
  <si>
    <t xml:space="preserve">info@sciberras.legal</t>
  </si>
  <si>
    <t xml:space="preserve">бутик: иммиграция, труд</t>
  </si>
  <si>
    <t xml:space="preserve">Тот же адвокат числится за Endevio.</t>
  </si>
  <si>
    <t xml:space="preserve">Camilleri Preziosi Advocates</t>
  </si>
  <si>
    <t xml:space="preserve">camilleripreziosi.com</t>
  </si>
  <si>
    <t xml:space="preserve">info@camilleripreziosi.com</t>
  </si>
  <si>
    <t xml:space="preserve">корпоративно-финансовая</t>
  </si>
  <si>
    <t xml:space="preserve">агент RES-CAMI</t>
  </si>
  <si>
    <t xml:space="preserve">GB Legal</t>
  </si>
  <si>
    <t xml:space="preserve">gblegal.org</t>
  </si>
  <si>
    <t xml:space="preserve">Dr Giannella Barbieri</t>
  </si>
  <si>
    <t xml:space="preserve">giannella@gblegal.org</t>
  </si>
  <si>
    <t xml:space="preserve">малая: корпоративное, яхты</t>
  </si>
  <si>
    <t xml:space="preserve">в реестре как «GB Partners» RES-GBLE, домен gbpartners.mt</t>
  </si>
  <si>
    <t xml:space="preserve">Расхождение домена и названия — проверить, одна ли это фирма.</t>
  </si>
  <si>
    <t xml:space="preserve">Ganado Advocates</t>
  </si>
  <si>
    <t xml:space="preserve">ganado.com</t>
  </si>
  <si>
    <t xml:space="preserve">https://ganado.com/contact-us/</t>
  </si>
  <si>
    <t xml:space="preserve">ведущая корпоративная</t>
  </si>
  <si>
    <t xml:space="preserve">не установлено</t>
  </si>
  <si>
    <t xml:space="preserve">агент RES-GANA</t>
  </si>
  <si>
    <t xml:space="preserve">Yakof Agius &amp; Associates</t>
  </si>
  <si>
    <t xml:space="preserve">yakofagius.com</t>
  </si>
  <si>
    <t xml:space="preserve">Yakof Agius</t>
  </si>
  <si>
    <t xml:space="preserve">info@yakofagius.com</t>
  </si>
  <si>
    <t xml:space="preserve">профильный агент MPRP, только Мальта</t>
  </si>
  <si>
    <t xml:space="preserve">агент RES-YAKO</t>
  </si>
  <si>
    <t xml:space="preserve">Enquiries about the MPRP — on what terms?</t>
  </si>
  <si>
    <t xml:space="preserve">«The Leading Experts In Maltese Citizenship and Residence By Investment».</t>
  </si>
  <si>
    <t xml:space="preserve">MCAS Ltd</t>
  </si>
  <si>
    <t xml:space="preserve">mcas.com.mt</t>
  </si>
  <si>
    <t xml:space="preserve">info@mcas.com.mt</t>
  </si>
  <si>
    <t xml:space="preserve">резидентство и гражданство Мальты</t>
  </si>
  <si>
    <t xml:space="preserve">агент RES-MCAS</t>
  </si>
  <si>
    <t xml:space="preserve">DZ Advisory Ltd</t>
  </si>
  <si>
    <t xml:space="preserve">dzadvisory.com</t>
  </si>
  <si>
    <t xml:space="preserve">info@dzadvisory.com</t>
  </si>
  <si>
    <t xml:space="preserve">private client для HNWI и family offices</t>
  </si>
  <si>
    <t xml:space="preserve">агент RES-DZAD</t>
  </si>
  <si>
    <t xml:space="preserve">Oathbound Consultancy</t>
  </si>
  <si>
    <t xml:space="preserve">oathbound.eu</t>
  </si>
  <si>
    <t xml:space="preserve">Christian Tonna</t>
  </si>
  <si>
    <t xml:space="preserve">info@oathbound.eu</t>
  </si>
  <si>
    <t xml:space="preserve">консультация по мальтийским маршрутам</t>
  </si>
  <si>
    <t xml:space="preserve">агент RES-TONN</t>
  </si>
  <si>
    <t xml:space="preserve">Основатель юрист по образованию, фирма — не практика.</t>
  </si>
  <si>
    <t xml:space="preserve">FJVA — Francis J Vassallo &amp; Associates</t>
  </si>
  <si>
    <t xml:space="preserve">fjvassallo.com</t>
  </si>
  <si>
    <t xml:space="preserve">enquire@fjvassallo.com</t>
  </si>
  <si>
    <t xml:space="preserve">CSP под надзором MFSA</t>
  </si>
  <si>
    <t xml:space="preserve">агент RES-FRAN</t>
  </si>
  <si>
    <t xml:space="preserve">Finco Trust Services</t>
  </si>
  <si>
    <t xml:space="preserve">fincotrust.com</t>
  </si>
  <si>
    <t xml:space="preserve">info@fincotrust.com</t>
  </si>
  <si>
    <t xml:space="preserve">многопрофильные проф. услуги</t>
  </si>
  <si>
    <t xml:space="preserve">агент RES-FINC</t>
  </si>
  <si>
    <t xml:space="preserve">AE Business Advisors</t>
  </si>
  <si>
    <t xml:space="preserve">ae.com.mt</t>
  </si>
  <si>
    <t xml:space="preserve">contact@ae.com.mt</t>
  </si>
  <si>
    <t xml:space="preserve">корпоративные и проф. услуги</t>
  </si>
  <si>
    <t xml:space="preserve">агент RES-AEAS</t>
  </si>
  <si>
    <t xml:space="preserve">Tri-Mer Services</t>
  </si>
  <si>
    <t xml:space="preserve">trimerservices.com</t>
  </si>
  <si>
    <t xml:space="preserve">info@trimerservices.com</t>
  </si>
  <si>
    <t xml:space="preserve">корпоративные услуги</t>
  </si>
  <si>
    <t xml:space="preserve">агент RES-TRIM</t>
  </si>
  <si>
    <t xml:space="preserve">CLA Malta</t>
  </si>
  <si>
    <t xml:space="preserve">clamalta.com</t>
  </si>
  <si>
    <t xml:space="preserve">info@clamalta.com</t>
  </si>
  <si>
    <t xml:space="preserve">аудит, налоги, бухгалтерия</t>
  </si>
  <si>
    <t xml:space="preserve">агент RES-CLAM</t>
  </si>
  <si>
    <t xml:space="preserve">Rosemont (Malta) Ltd</t>
  </si>
  <si>
    <t xml:space="preserve">rosemont.com.mt</t>
  </si>
  <si>
    <t xml:space="preserve">S. Huxford</t>
  </si>
  <si>
    <t xml:space="preserve">s.huxford@rosemont-mc.com</t>
  </si>
  <si>
    <t xml:space="preserve">резидентство и иммиграция через свой офис</t>
  </si>
  <si>
    <t xml:space="preserve">агент RES-ROSE</t>
  </si>
  <si>
    <t xml:space="preserve">EN, FR</t>
  </si>
  <si>
    <t xml:space="preserve">Адрес личный; общего на сайте нет.</t>
  </si>
  <si>
    <t xml:space="preserve">ACT Advisory Services</t>
  </si>
  <si>
    <t xml:space="preserve">act.com.mt</t>
  </si>
  <si>
    <t xml:space="preserve">https://www.act.com.mt/contact-us/</t>
  </si>
  <si>
    <t xml:space="preserve">advisory, corporate, tax</t>
  </si>
  <si>
    <t xml:space="preserve">агент RES-ACTA</t>
  </si>
  <si>
    <t xml:space="preserve">Почта закрыта Cloudflare.</t>
  </si>
  <si>
    <t xml:space="preserve">Seed Consultancy</t>
  </si>
  <si>
    <t xml:space="preserve">seedconsultancy.com</t>
  </si>
  <si>
    <t xml:space="preserve">https://seedconsultancy.com/contact-us/</t>
  </si>
  <si>
    <t xml:space="preserve">стратегический и policy-консалтинг</t>
  </si>
  <si>
    <t xml:space="preserve">агент RES-SEED</t>
  </si>
  <si>
    <t xml:space="preserve">NM Group Malta</t>
  </si>
  <si>
    <t xml:space="preserve">nmgroup.mt</t>
  </si>
  <si>
    <t xml:space="preserve">https://nmgroup.mt/contact-us/</t>
  </si>
  <si>
    <t xml:space="preserve">проф. услуги «одно окно»</t>
  </si>
  <si>
    <t xml:space="preserve">агент RES-NMGM</t>
  </si>
  <si>
    <t xml:space="preserve">FACT Advisory</t>
  </si>
  <si>
    <t xml:space="preserve">fact.com.mt</t>
  </si>
  <si>
    <t xml:space="preserve">бухгалтерия, аудит, налоги</t>
  </si>
  <si>
    <t xml:space="preserve">агент RES-FACT</t>
  </si>
  <si>
    <t xml:space="preserve">Почта закрыта, страницы контактов не нашлось.</t>
  </si>
  <si>
    <t xml:space="preserve">Boston Malta Advisory (Boston MFO)</t>
  </si>
  <si>
    <t xml:space="preserve">bostonmfo.com</t>
  </si>
  <si>
    <t xml:space="preserve">multi-family office, трасты</t>
  </si>
  <si>
    <t xml:space="preserve">агент RES-BOST</t>
  </si>
  <si>
    <t xml:space="preserve">Контента по резидентству на сайте нет вовсе.</t>
  </si>
  <si>
    <t xml:space="preserve">ОАЭ</t>
  </si>
  <si>
    <t xml:space="preserve">BSA Ahmad Bin Hezeem &amp; Associates</t>
  </si>
  <si>
    <t xml:space="preserve">bsalaw.com</t>
  </si>
  <si>
    <t xml:space="preserve">Dr Ahmad Bin Hezeem</t>
  </si>
  <si>
    <t xml:space="preserve">info@bsalaw.com</t>
  </si>
  <si>
    <t xml:space="preserve">крупная региональная, 150 юристов</t>
  </si>
  <si>
    <t xml:space="preserve">реестры требуют браузера</t>
  </si>
  <si>
    <t xml:space="preserve">не опубликованы</t>
  </si>
  <si>
    <t xml:space="preserve">Enquiries about UAE golden residency — no fee either way</t>
  </si>
  <si>
    <t xml:space="preserve">Единственные, кто верно закрывает офф-план.</t>
  </si>
  <si>
    <t xml:space="preserve">Awatif Mohammad Shoqi Advocates</t>
  </si>
  <si>
    <t xml:space="preserve">alrowaad.ae</t>
  </si>
  <si>
    <t xml:space="preserve">Awatif Al Khouri</t>
  </si>
  <si>
    <t xml:space="preserve">info@alrowaad.ae</t>
  </si>
  <si>
    <t xml:space="preserve">полносервисная, 50+, суды</t>
  </si>
  <si>
    <t xml:space="preserve">юрфирма по самоописанию</t>
  </si>
  <si>
    <t xml:space="preserve">EN, AR, RU</t>
  </si>
  <si>
    <t xml:space="preserve">Русский подтверждён.</t>
  </si>
  <si>
    <t xml:space="preserve">Fragomen (Dubai)</t>
  </si>
  <si>
    <t xml:space="preserve">fragomen.com</t>
  </si>
  <si>
    <t xml:space="preserve">Murtaza Khan</t>
  </si>
  <si>
    <t xml:space="preserve">https://www.fragomen.com/offices/dubai-uae.html</t>
  </si>
  <si>
    <t xml:space="preserve">иммиграционная фирма полного цикла</t>
  </si>
  <si>
    <t xml:space="preserve">да — профиль целиком</t>
  </si>
  <si>
    <t xml:space="preserve">DIFC CL0688</t>
  </si>
  <si>
    <t xml:space="preserve">Единственная в ОАЭ, где резидентство — основная практика.</t>
  </si>
  <si>
    <t xml:space="preserve">Davidson &amp; Co</t>
  </si>
  <si>
    <t xml:space="preserve">davidsoncolaw.com</t>
  </si>
  <si>
    <t xml:space="preserve">Андрей Панферов</t>
  </si>
  <si>
    <t xml:space="preserve">https://davidsoncolaw.com/contact-us/</t>
  </si>
  <si>
    <t xml:space="preserve">бутик коммерческого и частного права</t>
  </si>
  <si>
    <t xml:space="preserve">EN, RU</t>
  </si>
  <si>
    <t xml:space="preserve">В mailto шаблон webmaster@example.com.</t>
  </si>
  <si>
    <t xml:space="preserve">Shuraa Business Setup</t>
  </si>
  <si>
    <t xml:space="preserve">shuraa.com</t>
  </si>
  <si>
    <t xml:space="preserve">Saeed Khalifa Mohammed Al Fuqaei — Chairman</t>
  </si>
  <si>
    <t xml:space="preserve">info@shuraa.com</t>
  </si>
  <si>
    <t xml:space="preserve">бизнес-сетап, лицензии, визы</t>
  </si>
  <si>
    <t xml:space="preserve">да — Golden Visa только по ОАЭ</t>
  </si>
  <si>
    <t xml:space="preserve">EN, AR, HI</t>
  </si>
  <si>
    <t xml:space="preserve">Enquiries about UAE golden residency — on what terms?</t>
  </si>
  <si>
    <t xml:space="preserve">TVG Consultancy</t>
  </si>
  <si>
    <t xml:space="preserve">tvgconsultancy.com</t>
  </si>
  <si>
    <t xml:space="preserve">Ansh Virmani — CEO</t>
  </si>
  <si>
    <t xml:space="preserve">hello@tvgconsultancy.com</t>
  </si>
  <si>
    <t xml:space="preserve">сопровождение предпринимателей в ОАЭ</t>
  </si>
  <si>
    <t xml:space="preserve">Consult Kumar (Team Squaree)</t>
  </si>
  <si>
    <t xml:space="preserve">consultkumar.com</t>
  </si>
  <si>
    <t xml:space="preserve">Harshaal Kumaar — CEO</t>
  </si>
  <si>
    <t xml:space="preserve">harshaal@consultkumar.com</t>
  </si>
  <si>
    <t xml:space="preserve">бизнес-сетап и структурирование</t>
  </si>
  <si>
    <t xml:space="preserve">License 1039787, Dubai</t>
  </si>
  <si>
    <t xml:space="preserve">Лицензия опубликована — редкость для ОАЭ.</t>
  </si>
  <si>
    <t xml:space="preserve">Nex Consultants</t>
  </si>
  <si>
    <t xml:space="preserve">nexconsultants.com</t>
  </si>
  <si>
    <t xml:space="preserve">Davis Kadavan — Managing Partner</t>
  </si>
  <si>
    <t xml:space="preserve">info@nexconsultants.com</t>
  </si>
  <si>
    <t xml:space="preserve">инкорпорация и advisory</t>
  </si>
  <si>
    <t xml:space="preserve">Riz &amp; Mona Consultancy</t>
  </si>
  <si>
    <t xml:space="preserve">rizmona.com</t>
  </si>
  <si>
    <t xml:space="preserve">Rizwan Anjum Chaudhary — CEO</t>
  </si>
  <si>
    <t xml:space="preserve">info@rizmona.com</t>
  </si>
  <si>
    <t xml:space="preserve">регистрация, лицензии, визы, банки</t>
  </si>
  <si>
    <t xml:space="preserve">EN, UR</t>
  </si>
  <si>
    <t xml:space="preserve">Aurion Business Consultants</t>
  </si>
  <si>
    <t xml:space="preserve">aurionuae.com</t>
  </si>
  <si>
    <t xml:space="preserve">Syam Panayickal Prabhu — MD</t>
  </si>
  <si>
    <t xml:space="preserve">contact@aurionuae.com</t>
  </si>
  <si>
    <t xml:space="preserve">бизнес-сетап, PRO, комплаенс</t>
  </si>
  <si>
    <t xml:space="preserve">Decisive Zone</t>
  </si>
  <si>
    <t xml:space="preserve">decisivezone.ae</t>
  </si>
  <si>
    <t xml:space="preserve">Dyuti Parruck — CEO</t>
  </si>
  <si>
    <t xml:space="preserve">https://www.decisivezone.ae/</t>
  </si>
  <si>
    <t xml:space="preserve">бизнес-сетап: материк, фризоны</t>
  </si>
  <si>
    <t xml:space="preserve">Основателя публично зовут «Mr. Golden Visa».</t>
  </si>
  <si>
    <t xml:space="preserve">Creative Zone</t>
  </si>
  <si>
    <t xml:space="preserve">creativezone.ae</t>
  </si>
  <si>
    <t xml:space="preserve">Lorenzo Jooris — CEO</t>
  </si>
  <si>
    <t xml:space="preserve">https://www.creativezone.ae/contact-us/</t>
  </si>
  <si>
    <t xml:space="preserve">бизнес-сетап для МСБ</t>
  </si>
  <si>
    <t xml:space="preserve">Virtuzone</t>
  </si>
  <si>
    <t xml:space="preserve">virtuzone.com</t>
  </si>
  <si>
    <t xml:space="preserve">George Hojeige — Group CEO</t>
  </si>
  <si>
    <t xml:space="preserve">https://virtuzone.com/contactus/</t>
  </si>
  <si>
    <t xml:space="preserve">бизнес-сетап под ключ</t>
  </si>
  <si>
    <t xml:space="preserve">Два письма</t>
  </si>
  <si>
    <t xml:space="preserve">Почему писем два</t>
  </si>
  <si>
    <t xml:space="preserve">Плата юристу за приведённого клиента запрещена в Португалии (ст. 107 Estatuto da Ordem dos Advogados), на Мальте (Code of Ethics, ч. 2 гл. I правило 3 + Code of Police Laws, Cap. 10, ст. 42–43) и в ОАЭ (ст. 101 Federal Decree-Law 34/2022, штраф 20–200 тыс. дирхамов на ЛЮБОЕ лицо, то есть на нас). В Греции такой нормы не нашли. На не-юристов ни одна из этих норм не распространяется.</t>
  </si>
  <si>
    <t xml:space="preserve">Письмо A — про деньги</t>
  </si>
  <si>
    <t xml:space="preserve">Кому: все не-юрфирмы во всех четырёх странах + греческие юрфирмы. Спрашивает, платит ли фирма за заявки и по какой схеме.</t>
  </si>
  <si>
    <t xml:space="preserve">Тема A — Португалия</t>
  </si>
  <si>
    <t xml:space="preserve">Тема A — Греция</t>
  </si>
  <si>
    <t xml:space="preserve">Тема A — Мальта</t>
  </si>
  <si>
    <t xml:space="preserve">Тема A — ОАЭ</t>
  </si>
  <si>
    <t xml:space="preserve">Тело A</t>
  </si>
  <si>
    <t xml:space="preserve">Письмо B — бесплатное</t>
  </si>
  <si>
    <t xml:space="preserve">Кому: юрфирмы Португалии, Мальты и ОАЭ. Денег не просит вовсе и говорит почему — иначе «бесплатно» звучит как уловка.</t>
  </si>
  <si>
    <t xml:space="preserve">Тема B — Португалия</t>
  </si>
  <si>
    <t xml:space="preserve">Тема B — Мальта</t>
  </si>
  <si>
    <t xml:space="preserve">Тема B — ОАЭ</t>
  </si>
  <si>
    <t xml:space="preserve">Тело B</t>
  </si>
  <si>
    <t xml:space="preserve">Отправитель</t>
  </si>
  <si>
    <t xml:space="preserve">office@moveandinvest.com. В поле From отображаемое имя — Alex Bandziuk.</t>
  </si>
  <si>
    <t xml:space="preserve">Формат</t>
  </si>
  <si>
    <t xml:space="preserve">Plain text, без вложений, без трекеров. Одна ссылка — moveandinvest.com/for-partners. Каждому отдельное письмо, без BCC.</t>
  </si>
  <si>
    <t xml:space="preserve">Про сайт адресата</t>
  </si>
  <si>
    <t xml:space="preserve">Ни слова — ни про ошибку, ни про похвалу.</t>
  </si>
  <si>
    <t xml:space="preserve">Если спросят про объём</t>
  </si>
  <si>
    <t xml:space="preserve">Прямо: сайт запущен в этом месяце, потока сегодня нет. Любая формулировка вроде «заявки идут» — неправда.</t>
  </si>
  <si>
    <t xml:space="preserve">Как этим пользоваться</t>
  </si>
  <si>
    <t xml:space="preserve">Заполняешь ты</t>
  </si>
  <si>
    <t xml:space="preserve">Столбцы R–W: Статус, Дата отправки, Дата ответа, Что ответили про деньги, Заметки.</t>
  </si>
  <si>
    <t xml:space="preserve">Столбец T считается сам: дата отправки + 14 дней.</t>
  </si>
  <si>
    <t xml:space="preserve">Жёлтые строки</t>
  </si>
  <si>
    <t xml:space="preserve">День 1 — тринадцать писем: оба письма, оба типа адресатов, все четыре страны. Остальные 59 уходят следующим днём, если письма сработали.</t>
  </si>
  <si>
    <t xml:space="preserve">Голубая ячейка в «Модель»</t>
  </si>
  <si>
    <t xml:space="preserve">Письмо B: денег не просим, потому что закон не разрешает адресату их платить. Это не уступка, а единственная законная форма.</t>
  </si>
  <si>
    <t xml:space="preserve">Розовая ячейка</t>
  </si>
  <si>
    <t xml:space="preserve">У фирмы нет резидентства в практиках — «нет» вероятнее, и такой отказ ничего не говорит о письме.</t>
  </si>
  <si>
    <t xml:space="preserve">«Тип»</t>
  </si>
  <si>
    <t xml:space="preserve">Юрфирма или нет. Это главное деление в таблице: от него зависит, какое письмо уходит и можно ли вообще говорить о деньгах.</t>
  </si>
  <si>
    <t xml:space="preserve">Лицензии Мальты</t>
  </si>
  <si>
    <t xml:space="preserve">Коды RES-XXXX — из официального списка агентов Residency Malta (residencymalta.gov.mt/list-of-agents-residencymalta). Реестр читается напрямую; в документе от 1 сентября было сказано обратное — это исправление.</t>
  </si>
  <si>
    <t xml:space="preserve">Что список агентов НЕ доказывает</t>
  </si>
  <si>
    <t xml:space="preserve">Юридический статус. В том же списке KPMG, PwC, Deloitte, EY, Henley. Он доказывает только право подавать MPRP.</t>
  </si>
  <si>
    <t xml:space="preserve">Кого здесь нет</t>
  </si>
  <si>
    <t xml:space="preserve">Мультистрановые сравнительные площадки — Henley, Chetcuti Cauchi, Endevio, Discus, Latitude, Immigrant Invest, Dixcart, Sovereign, Global Citizen Solutions, Get Golden Visa, Atlas Consulting, Advisors Portugal, The Waypoint, Golden Port Visa, Acquest. Они конкурируют с нами за те же запросы: письмо им — бесплатная разведка нашей экономики. Плюс фирмы с неверными цифрами: EMD, Katsouris, GFDL, Al Tamimi, Al Kabban.</t>
  </si>
  <si>
    <t xml:space="preserve">Застройщиков нет</t>
  </si>
  <si>
    <t xml:space="preserve">На /about опубликовано, что проект не продаёт недвижимость и не берёт процент со сделки. Пока этот абзац стоит, застройщик партнёром быть не может. Это наше решение, а не норма.</t>
  </si>
  <si>
    <t xml:space="preserve">Кипра нет</t>
  </si>
  <si>
    <t xml:space="preserve">Гайда по стране нет — предлагать нечего.</t>
  </si>
  <si>
    <t xml:space="preserve">Польского нет ни у кого, кроме офисного ящика WH Partners. Русский: Georgaki, Amoiridis, Awatif, Davidson &amp; Co, возможно MoveTo.</t>
  </si>
  <si>
    <t xml:space="preserve">Адреса</t>
  </si>
  <si>
    <t xml:space="preserve">Собраны 1 сентября 2026 года с сайтов самих фирм. Ни один не угадан по шаблону; где почта закрыта Cloudflare — стоит форма или «не найден».</t>
  </si>
  <si>
    <t xml:space="preserve">Оговорка</t>
  </si>
  <si>
    <t xml:space="preserve">Нормы прочитаны по первоисточникам, но это чтение, а не юридическое заключение. Перед тем как строить на этом деньги, нужен разговор с практикующим адвокатом.</t>
  </si>
  <si>
    <t xml:space="preserve">Источник</t>
  </si>
  <si>
    <t xml:space="preserve">docs/partners-outreach-2026-09-01.md — кандидаты и обоснования; правки копий сайта от 1 сентября — /about, /enquiry, партнёрский блок, /for-partners.</t>
  </si>
  <si>
    <t xml:space="preserve">Сводка</t>
  </si>
  <si>
    <t xml:space="preserve">Всего адресатов</t>
  </si>
  <si>
    <t xml:space="preserve">В день 1</t>
  </si>
  <si>
    <t xml:space="preserve">В день 2</t>
  </si>
  <si>
    <t xml:space="preserve">Юрфирм</t>
  </si>
  <si>
    <t xml:space="preserve">Не юрфирм</t>
  </si>
  <si>
    <t xml:space="preserve">По email</t>
  </si>
  <si>
    <t xml:space="preserve">Через форму</t>
  </si>
  <si>
    <t xml:space="preserve">Адрес не найден</t>
  </si>
  <si>
    <t xml:space="preserve">Отправлено</t>
  </si>
  <si>
    <t xml:space="preserve">Ответ: да</t>
  </si>
  <si>
    <t xml:space="preserve">Ответ: нет</t>
  </si>
  <si>
    <t xml:space="preserve">Нет ответа</t>
  </si>
</sst>
</file>

<file path=xl/styles.xml><?xml version="1.0" encoding="utf-8"?>
<styleSheet xmlns="http://schemas.openxmlformats.org/spreadsheetml/2006/main">
  <numFmts count="3">
    <numFmt numFmtId="164" formatCode="General"/>
    <numFmt numFmtId="165" formatCode="dd\.mm\.yyyy"/>
    <numFmt numFmtId="166"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3"/>
      <name val="Arial"/>
      <family val="0"/>
      <charset val="1"/>
    </font>
    <font>
      <b val="true"/>
      <sz val="10"/>
      <name val="Arial"/>
      <family val="0"/>
      <charset val="1"/>
    </font>
  </fonts>
  <fills count="6">
    <fill>
      <patternFill patternType="none"/>
    </fill>
    <fill>
      <patternFill patternType="gray125"/>
    </fill>
    <fill>
      <patternFill patternType="solid">
        <fgColor rgb="FF2F4858"/>
        <bgColor rgb="FF333399"/>
      </patternFill>
    </fill>
    <fill>
      <patternFill patternType="solid">
        <fgColor rgb="FFFFF6E0"/>
        <bgColor rgb="FFFDE7E7"/>
      </patternFill>
    </fill>
    <fill>
      <patternFill patternType="solid">
        <fgColor rgb="FFE8EEF4"/>
        <bgColor rgb="FFFDE7E7"/>
      </patternFill>
    </fill>
    <fill>
      <patternFill patternType="solid">
        <fgColor rgb="FFFDE7E7"/>
        <bgColor rgb="FFFFF6E0"/>
      </patternFill>
    </fill>
  </fills>
  <borders count="2">
    <border diagonalUp="false" diagonalDown="false">
      <left/>
      <right/>
      <top/>
      <bottom/>
      <diagonal/>
    </border>
    <border diagonalUp="false" diagonalDown="false">
      <left style="thin">
        <color rgb="FFD0D4D8"/>
      </left>
      <right style="thin">
        <color rgb="FFD0D4D8"/>
      </right>
      <top style="thin">
        <color rgb="FFD0D4D8"/>
      </top>
      <bottom style="thin">
        <color rgb="FFD0D4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F4858"/>
          <bgColor rgb="FF000000"/>
        </patternFill>
      </fill>
    </dxf>
    <dxf>
      <fill>
        <patternFill patternType="solid">
          <fgColor rgb="FFFFF6E0"/>
          <bgColor rgb="FF000000"/>
        </patternFill>
      </fill>
    </dxf>
    <dxf>
      <fill>
        <patternFill patternType="solid">
          <bgColor rgb="FF000000"/>
        </patternFill>
      </fill>
    </dxf>
    <dxf>
      <fill>
        <patternFill patternType="solid">
          <fgColor rgb="FFFFFFFF"/>
          <bgColor rgb="FF000000"/>
        </patternFill>
      </fill>
    </dxf>
    <dxf>
      <fill>
        <patternFill patternType="solid">
          <fgColor rgb="FFFDE7E7"/>
          <bgColor rgb="FF000000"/>
        </patternFill>
      </fill>
    </dxf>
    <dxf>
      <fill>
        <patternFill patternType="solid">
          <fgColor rgb="FFE8EEF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E0"/>
      <rgbColor rgb="FFE8EEF4"/>
      <rgbColor rgb="FF660066"/>
      <rgbColor rgb="FFFF8080"/>
      <rgbColor rgb="FF0066CC"/>
      <rgbColor rgb="FFD0D4D8"/>
      <rgbColor rgb="FF000080"/>
      <rgbColor rgb="FFFF00FF"/>
      <rgbColor rgb="FFFFFF00"/>
      <rgbColor rgb="FF00FFFF"/>
      <rgbColor rgb="FF800080"/>
      <rgbColor rgb="FF800000"/>
      <rgbColor rgb="FF008080"/>
      <rgbColor rgb="FF0000FF"/>
      <rgbColor rgb="FF00CCFF"/>
      <rgbColor rgb="FFCCFFFF"/>
      <rgbColor rgb="FFCCFFCC"/>
      <rgbColor rgb="FFFDE7E7"/>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12"/>
    <col collapsed="false" customWidth="true" hidden="false" outlineLevel="0" max="4" min="4" style="0" width="34"/>
    <col collapsed="false" customWidth="true" hidden="false" outlineLevel="0" max="5" min="5" style="0" width="24"/>
    <col collapsed="false" customWidth="true" hidden="false" outlineLevel="0" max="6" min="6" style="0" width="28"/>
    <col collapsed="false" customWidth="true" hidden="false" outlineLevel="0" max="7" min="7" style="0" width="10"/>
    <col collapsed="false" customWidth="true" hidden="false" outlineLevel="0" max="8" min="8" style="0" width="36"/>
    <col collapsed="false" customWidth="true" hidden="false" outlineLevel="0" max="9" min="9" style="0" width="42"/>
    <col collapsed="false" customWidth="true" hidden="false" outlineLevel="0" max="10" min="10" style="0" width="40"/>
    <col collapsed="false" customWidth="true" hidden="false" outlineLevel="0" max="11" min="11" style="0" width="46"/>
    <col collapsed="false" customWidth="true" hidden="false" outlineLevel="0" max="12" min="12" style="0" width="24"/>
    <col collapsed="false" customWidth="true" hidden="false" outlineLevel="0" max="13" min="13" style="0" width="9"/>
    <col collapsed="false" customWidth="true" hidden="false" outlineLevel="0" max="14" min="14" style="0" width="12"/>
    <col collapsed="false" customWidth="true" hidden="false" outlineLevel="0" max="15" min="15" style="0" width="52"/>
    <col collapsed="false" customWidth="true" hidden="false" outlineLevel="0" max="16" min="16" style="0" width="60"/>
    <col collapsed="false" customWidth="true" hidden="false" outlineLevel="0" max="17" min="17" style="0" width="50"/>
    <col collapsed="false" customWidth="true" hidden="false" outlineLevel="0" max="18" min="18" style="0" width="18"/>
    <col collapsed="false" customWidth="true" hidden="false" outlineLevel="0" max="21" min="19" style="0" width="15"/>
    <col collapsed="false" customWidth="true" hidden="false" outlineLevel="0" max="22" min="22" style="0" width="40"/>
    <col collapsed="false" customWidth="true" hidden="false" outlineLevel="0" max="23" min="23" style="0" width="34"/>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33.75" hidden="false" customHeight="true" outlineLevel="0" collapsed="false">
      <c r="A2" s="2" t="n">
        <v>1</v>
      </c>
      <c r="B2" s="2" t="s">
        <v>23</v>
      </c>
      <c r="C2" s="2" t="s">
        <v>24</v>
      </c>
      <c r="D2" s="3" t="s">
        <v>25</v>
      </c>
      <c r="E2" s="2" t="s">
        <v>26</v>
      </c>
      <c r="F2" s="2" t="s">
        <v>27</v>
      </c>
      <c r="G2" s="2" t="s">
        <v>28</v>
      </c>
      <c r="H2" s="2" t="s">
        <v>29</v>
      </c>
      <c r="I2" s="3" t="s">
        <v>30</v>
      </c>
      <c r="J2" s="3" t="s">
        <v>31</v>
      </c>
      <c r="K2" s="3" t="s">
        <v>32</v>
      </c>
      <c r="L2" s="2" t="s">
        <v>33</v>
      </c>
      <c r="M2" s="2" t="s">
        <v>34</v>
      </c>
      <c r="N2" s="4" t="s">
        <v>35</v>
      </c>
      <c r="O2" s="2" t="s">
        <v>36</v>
      </c>
      <c r="P2" s="3" t="s">
        <v>37</v>
      </c>
      <c r="Q2" s="3" t="s">
        <v>38</v>
      </c>
      <c r="R2" s="2" t="s">
        <v>39</v>
      </c>
      <c r="S2" s="5"/>
      <c r="T2" s="5" t="str">
        <f aca="false">IF(S2="","",S2+14)</f>
        <v/>
      </c>
      <c r="U2" s="5"/>
      <c r="V2" s="3"/>
      <c r="W2" s="3"/>
    </row>
    <row r="3" customFormat="false" ht="33.75" hidden="false" customHeight="true" outlineLevel="0" collapsed="false">
      <c r="A3" s="6" t="n">
        <v>2</v>
      </c>
      <c r="B3" s="6" t="s">
        <v>23</v>
      </c>
      <c r="C3" s="6" t="s">
        <v>24</v>
      </c>
      <c r="D3" s="7" t="s">
        <v>40</v>
      </c>
      <c r="E3" s="6" t="s">
        <v>41</v>
      </c>
      <c r="F3" s="6" t="s">
        <v>42</v>
      </c>
      <c r="G3" s="6" t="s">
        <v>28</v>
      </c>
      <c r="H3" s="6" t="s">
        <v>43</v>
      </c>
      <c r="I3" s="7" t="s">
        <v>44</v>
      </c>
      <c r="J3" s="7" t="s">
        <v>31</v>
      </c>
      <c r="K3" s="7" t="s">
        <v>45</v>
      </c>
      <c r="L3" s="6" t="s">
        <v>33</v>
      </c>
      <c r="M3" s="6" t="s">
        <v>34</v>
      </c>
      <c r="N3" s="4" t="s">
        <v>35</v>
      </c>
      <c r="O3" s="6" t="s">
        <v>36</v>
      </c>
      <c r="P3" s="7" t="s">
        <v>37</v>
      </c>
      <c r="Q3" s="7" t="s">
        <v>46</v>
      </c>
      <c r="R3" s="6" t="s">
        <v>39</v>
      </c>
      <c r="S3" s="8"/>
      <c r="T3" s="8" t="str">
        <f aca="false">IF(S3="","",S3+14)</f>
        <v/>
      </c>
      <c r="U3" s="8"/>
      <c r="V3" s="7"/>
      <c r="W3" s="7"/>
    </row>
    <row r="4" customFormat="false" ht="33.75" hidden="false" customHeight="true" outlineLevel="0" collapsed="false">
      <c r="A4" s="6" t="n">
        <v>2</v>
      </c>
      <c r="B4" s="6" t="s">
        <v>23</v>
      </c>
      <c r="C4" s="6" t="s">
        <v>24</v>
      </c>
      <c r="D4" s="7" t="s">
        <v>47</v>
      </c>
      <c r="E4" s="6" t="s">
        <v>48</v>
      </c>
      <c r="F4" s="6"/>
      <c r="G4" s="6" t="s">
        <v>28</v>
      </c>
      <c r="H4" s="6" t="s">
        <v>49</v>
      </c>
      <c r="I4" s="7" t="s">
        <v>50</v>
      </c>
      <c r="J4" s="7" t="s">
        <v>51</v>
      </c>
      <c r="K4" s="7" t="s">
        <v>52</v>
      </c>
      <c r="L4" s="6" t="s">
        <v>33</v>
      </c>
      <c r="M4" s="6" t="s">
        <v>34</v>
      </c>
      <c r="N4" s="4" t="s">
        <v>35</v>
      </c>
      <c r="O4" s="6" t="s">
        <v>36</v>
      </c>
      <c r="P4" s="7" t="s">
        <v>37</v>
      </c>
      <c r="Q4" s="7"/>
      <c r="R4" s="6" t="s">
        <v>39</v>
      </c>
      <c r="S4" s="8"/>
      <c r="T4" s="8" t="str">
        <f aca="false">IF(S4="","",S4+14)</f>
        <v/>
      </c>
      <c r="U4" s="8"/>
      <c r="V4" s="7"/>
      <c r="W4" s="7"/>
    </row>
    <row r="5" customFormat="false" ht="33.75" hidden="false" customHeight="true" outlineLevel="0" collapsed="false">
      <c r="A5" s="6" t="n">
        <v>2</v>
      </c>
      <c r="B5" s="6" t="s">
        <v>23</v>
      </c>
      <c r="C5" s="6" t="s">
        <v>24</v>
      </c>
      <c r="D5" s="7" t="s">
        <v>53</v>
      </c>
      <c r="E5" s="6" t="s">
        <v>54</v>
      </c>
      <c r="F5" s="6"/>
      <c r="G5" s="6" t="s">
        <v>28</v>
      </c>
      <c r="H5" s="6" t="s">
        <v>55</v>
      </c>
      <c r="I5" s="7" t="s">
        <v>56</v>
      </c>
      <c r="J5" s="7" t="s">
        <v>57</v>
      </c>
      <c r="K5" s="7" t="s">
        <v>45</v>
      </c>
      <c r="L5" s="6" t="s">
        <v>33</v>
      </c>
      <c r="M5" s="6" t="s">
        <v>34</v>
      </c>
      <c r="N5" s="4" t="s">
        <v>35</v>
      </c>
      <c r="O5" s="6" t="s">
        <v>36</v>
      </c>
      <c r="P5" s="7" t="s">
        <v>37</v>
      </c>
      <c r="Q5" s="7"/>
      <c r="R5" s="6" t="s">
        <v>39</v>
      </c>
      <c r="S5" s="8"/>
      <c r="T5" s="8" t="str">
        <f aca="false">IF(S5="","",S5+14)</f>
        <v/>
      </c>
      <c r="U5" s="8"/>
      <c r="V5" s="7"/>
      <c r="W5" s="7"/>
    </row>
    <row r="6" customFormat="false" ht="33.75" hidden="false" customHeight="true" outlineLevel="0" collapsed="false">
      <c r="A6" s="6" t="n">
        <v>2</v>
      </c>
      <c r="B6" s="6" t="s">
        <v>23</v>
      </c>
      <c r="C6" s="6" t="s">
        <v>24</v>
      </c>
      <c r="D6" s="7" t="s">
        <v>58</v>
      </c>
      <c r="E6" s="6" t="s">
        <v>59</v>
      </c>
      <c r="F6" s="6"/>
      <c r="G6" s="6" t="s">
        <v>28</v>
      </c>
      <c r="H6" s="6" t="s">
        <v>60</v>
      </c>
      <c r="I6" s="7" t="s">
        <v>61</v>
      </c>
      <c r="J6" s="9" t="s">
        <v>62</v>
      </c>
      <c r="K6" s="7" t="s">
        <v>45</v>
      </c>
      <c r="L6" s="6" t="s">
        <v>33</v>
      </c>
      <c r="M6" s="6" t="s">
        <v>34</v>
      </c>
      <c r="N6" s="4" t="s">
        <v>35</v>
      </c>
      <c r="O6" s="6" t="s">
        <v>36</v>
      </c>
      <c r="P6" s="7" t="s">
        <v>37</v>
      </c>
      <c r="Q6" s="7"/>
      <c r="R6" s="6" t="s">
        <v>39</v>
      </c>
      <c r="S6" s="8"/>
      <c r="T6" s="8" t="str">
        <f aca="false">IF(S6="","",S6+14)</f>
        <v/>
      </c>
      <c r="U6" s="8"/>
      <c r="V6" s="7"/>
      <c r="W6" s="7"/>
    </row>
    <row r="7" customFormat="false" ht="33.75" hidden="false" customHeight="true" outlineLevel="0" collapsed="false">
      <c r="A7" s="6" t="n">
        <v>2</v>
      </c>
      <c r="B7" s="6" t="s">
        <v>23</v>
      </c>
      <c r="C7" s="6" t="s">
        <v>24</v>
      </c>
      <c r="D7" s="7" t="s">
        <v>63</v>
      </c>
      <c r="E7" s="6" t="s">
        <v>64</v>
      </c>
      <c r="F7" s="6"/>
      <c r="G7" s="6" t="s">
        <v>28</v>
      </c>
      <c r="H7" s="6" t="s">
        <v>65</v>
      </c>
      <c r="I7" s="7" t="s">
        <v>66</v>
      </c>
      <c r="J7" s="9" t="s">
        <v>62</v>
      </c>
      <c r="K7" s="7" t="s">
        <v>45</v>
      </c>
      <c r="L7" s="6" t="s">
        <v>33</v>
      </c>
      <c r="M7" s="6" t="s">
        <v>34</v>
      </c>
      <c r="N7" s="4" t="s">
        <v>35</v>
      </c>
      <c r="O7" s="6" t="s">
        <v>36</v>
      </c>
      <c r="P7" s="7" t="s">
        <v>37</v>
      </c>
      <c r="Q7" s="7"/>
      <c r="R7" s="6" t="s">
        <v>39</v>
      </c>
      <c r="S7" s="8"/>
      <c r="T7" s="8" t="str">
        <f aca="false">IF(S7="","",S7+14)</f>
        <v/>
      </c>
      <c r="U7" s="8"/>
      <c r="V7" s="7"/>
      <c r="W7" s="7"/>
    </row>
    <row r="8" customFormat="false" ht="33.75" hidden="false" customHeight="true" outlineLevel="0" collapsed="false">
      <c r="A8" s="6" t="n">
        <v>2</v>
      </c>
      <c r="B8" s="6" t="s">
        <v>23</v>
      </c>
      <c r="C8" s="6" t="s">
        <v>24</v>
      </c>
      <c r="D8" s="7" t="s">
        <v>67</v>
      </c>
      <c r="E8" s="6" t="s">
        <v>68</v>
      </c>
      <c r="F8" s="6" t="s">
        <v>69</v>
      </c>
      <c r="G8" s="6" t="s">
        <v>70</v>
      </c>
      <c r="H8" s="6" t="s">
        <v>71</v>
      </c>
      <c r="I8" s="7" t="s">
        <v>72</v>
      </c>
      <c r="J8" s="9" t="s">
        <v>62</v>
      </c>
      <c r="K8" s="7" t="s">
        <v>73</v>
      </c>
      <c r="L8" s="6" t="s">
        <v>33</v>
      </c>
      <c r="M8" s="6" t="s">
        <v>34</v>
      </c>
      <c r="N8" s="4" t="s">
        <v>35</v>
      </c>
      <c r="O8" s="6" t="s">
        <v>36</v>
      </c>
      <c r="P8" s="7" t="s">
        <v>37</v>
      </c>
      <c r="Q8" s="7" t="s">
        <v>74</v>
      </c>
      <c r="R8" s="6" t="s">
        <v>39</v>
      </c>
      <c r="S8" s="8"/>
      <c r="T8" s="8" t="str">
        <f aca="false">IF(S8="","",S8+14)</f>
        <v/>
      </c>
      <c r="U8" s="8"/>
      <c r="V8" s="7"/>
      <c r="W8" s="7"/>
    </row>
    <row r="9" customFormat="false" ht="33.75" hidden="false" customHeight="true" outlineLevel="0" collapsed="false">
      <c r="A9" s="6" t="n">
        <v>2</v>
      </c>
      <c r="B9" s="6" t="s">
        <v>23</v>
      </c>
      <c r="C9" s="6" t="s">
        <v>24</v>
      </c>
      <c r="D9" s="7" t="s">
        <v>75</v>
      </c>
      <c r="E9" s="6" t="s">
        <v>76</v>
      </c>
      <c r="F9" s="6"/>
      <c r="G9" s="6" t="s">
        <v>70</v>
      </c>
      <c r="H9" s="6" t="s">
        <v>77</v>
      </c>
      <c r="I9" s="7" t="s">
        <v>66</v>
      </c>
      <c r="J9" s="7" t="s">
        <v>78</v>
      </c>
      <c r="K9" s="7" t="s">
        <v>45</v>
      </c>
      <c r="L9" s="6" t="s">
        <v>33</v>
      </c>
      <c r="M9" s="6" t="s">
        <v>34</v>
      </c>
      <c r="N9" s="4" t="s">
        <v>35</v>
      </c>
      <c r="O9" s="6" t="s">
        <v>36</v>
      </c>
      <c r="P9" s="7" t="s">
        <v>37</v>
      </c>
      <c r="Q9" s="7"/>
      <c r="R9" s="6" t="s">
        <v>39</v>
      </c>
      <c r="S9" s="8"/>
      <c r="T9" s="8" t="str">
        <f aca="false">IF(S9="","",S9+14)</f>
        <v/>
      </c>
      <c r="U9" s="8"/>
      <c r="V9" s="7"/>
      <c r="W9" s="7"/>
    </row>
    <row r="10" customFormat="false" ht="33.75" hidden="false" customHeight="true" outlineLevel="0" collapsed="false">
      <c r="A10" s="2" t="n">
        <v>1</v>
      </c>
      <c r="B10" s="2" t="s">
        <v>23</v>
      </c>
      <c r="C10" s="2" t="s">
        <v>79</v>
      </c>
      <c r="D10" s="3" t="s">
        <v>80</v>
      </c>
      <c r="E10" s="2" t="s">
        <v>81</v>
      </c>
      <c r="F10" s="2" t="s">
        <v>82</v>
      </c>
      <c r="G10" s="2" t="s">
        <v>28</v>
      </c>
      <c r="H10" s="2" t="s">
        <v>83</v>
      </c>
      <c r="I10" s="3" t="s">
        <v>84</v>
      </c>
      <c r="J10" s="3" t="s">
        <v>31</v>
      </c>
      <c r="K10" s="3" t="s">
        <v>85</v>
      </c>
      <c r="L10" s="2" t="s">
        <v>86</v>
      </c>
      <c r="M10" s="2" t="s">
        <v>87</v>
      </c>
      <c r="N10" s="2" t="s">
        <v>88</v>
      </c>
      <c r="O10" s="2" t="s">
        <v>89</v>
      </c>
      <c r="P10" s="3" t="s">
        <v>90</v>
      </c>
      <c r="Q10" s="3" t="s">
        <v>91</v>
      </c>
      <c r="R10" s="2" t="s">
        <v>39</v>
      </c>
      <c r="S10" s="5"/>
      <c r="T10" s="5" t="str">
        <f aca="false">IF(S10="","",S10+14)</f>
        <v/>
      </c>
      <c r="U10" s="5"/>
      <c r="V10" s="3"/>
      <c r="W10" s="3"/>
    </row>
    <row r="11" customFormat="false" ht="33.75" hidden="false" customHeight="true" outlineLevel="0" collapsed="false">
      <c r="A11" s="2" t="n">
        <v>1</v>
      </c>
      <c r="B11" s="2" t="s">
        <v>23</v>
      </c>
      <c r="C11" s="2" t="s">
        <v>79</v>
      </c>
      <c r="D11" s="3" t="s">
        <v>92</v>
      </c>
      <c r="E11" s="2" t="s">
        <v>93</v>
      </c>
      <c r="F11" s="2" t="s">
        <v>94</v>
      </c>
      <c r="G11" s="2" t="s">
        <v>28</v>
      </c>
      <c r="H11" s="2" t="s">
        <v>95</v>
      </c>
      <c r="I11" s="3" t="s">
        <v>96</v>
      </c>
      <c r="J11" s="3" t="s">
        <v>31</v>
      </c>
      <c r="K11" s="3" t="s">
        <v>97</v>
      </c>
      <c r="L11" s="2" t="s">
        <v>86</v>
      </c>
      <c r="M11" s="2" t="s">
        <v>87</v>
      </c>
      <c r="N11" s="2" t="s">
        <v>88</v>
      </c>
      <c r="O11" s="2" t="s">
        <v>89</v>
      </c>
      <c r="P11" s="3" t="s">
        <v>90</v>
      </c>
      <c r="Q11" s="3" t="s">
        <v>98</v>
      </c>
      <c r="R11" s="2" t="s">
        <v>39</v>
      </c>
      <c r="S11" s="5"/>
      <c r="T11" s="5" t="str">
        <f aca="false">IF(S11="","",S11+14)</f>
        <v/>
      </c>
      <c r="U11" s="5"/>
      <c r="V11" s="3"/>
      <c r="W11" s="3"/>
    </row>
    <row r="12" customFormat="false" ht="33.75" hidden="false" customHeight="true" outlineLevel="0" collapsed="false">
      <c r="A12" s="6" t="n">
        <v>2</v>
      </c>
      <c r="B12" s="6" t="s">
        <v>23</v>
      </c>
      <c r="C12" s="6" t="s">
        <v>79</v>
      </c>
      <c r="D12" s="7" t="s">
        <v>99</v>
      </c>
      <c r="E12" s="6" t="s">
        <v>100</v>
      </c>
      <c r="F12" s="6" t="s">
        <v>101</v>
      </c>
      <c r="G12" s="6" t="s">
        <v>28</v>
      </c>
      <c r="H12" s="6" t="s">
        <v>102</v>
      </c>
      <c r="I12" s="7" t="s">
        <v>103</v>
      </c>
      <c r="J12" s="7" t="s">
        <v>31</v>
      </c>
      <c r="K12" s="7" t="s">
        <v>104</v>
      </c>
      <c r="L12" s="6" t="s">
        <v>105</v>
      </c>
      <c r="M12" s="6" t="s">
        <v>87</v>
      </c>
      <c r="N12" s="6" t="s">
        <v>88</v>
      </c>
      <c r="O12" s="6" t="s">
        <v>89</v>
      </c>
      <c r="P12" s="7" t="s">
        <v>90</v>
      </c>
      <c r="Q12" s="7"/>
      <c r="R12" s="6" t="s">
        <v>39</v>
      </c>
      <c r="S12" s="8"/>
      <c r="T12" s="8" t="str">
        <f aca="false">IF(S12="","",S12+14)</f>
        <v/>
      </c>
      <c r="U12" s="8"/>
      <c r="V12" s="7"/>
      <c r="W12" s="7"/>
    </row>
    <row r="13" customFormat="false" ht="33.75" hidden="false" customHeight="true" outlineLevel="0" collapsed="false">
      <c r="A13" s="6" t="n">
        <v>2</v>
      </c>
      <c r="B13" s="6" t="s">
        <v>23</v>
      </c>
      <c r="C13" s="6" t="s">
        <v>79</v>
      </c>
      <c r="D13" s="7" t="s">
        <v>106</v>
      </c>
      <c r="E13" s="6" t="s">
        <v>107</v>
      </c>
      <c r="F13" s="6" t="s">
        <v>108</v>
      </c>
      <c r="G13" s="6" t="s">
        <v>28</v>
      </c>
      <c r="H13" s="6" t="s">
        <v>109</v>
      </c>
      <c r="I13" s="7" t="s">
        <v>110</v>
      </c>
      <c r="J13" s="7" t="s">
        <v>31</v>
      </c>
      <c r="K13" s="7" t="s">
        <v>111</v>
      </c>
      <c r="L13" s="6" t="s">
        <v>105</v>
      </c>
      <c r="M13" s="6" t="s">
        <v>87</v>
      </c>
      <c r="N13" s="6" t="s">
        <v>88</v>
      </c>
      <c r="O13" s="6" t="s">
        <v>89</v>
      </c>
      <c r="P13" s="7" t="s">
        <v>90</v>
      </c>
      <c r="Q13" s="7" t="s">
        <v>112</v>
      </c>
      <c r="R13" s="6" t="s">
        <v>39</v>
      </c>
      <c r="S13" s="8"/>
      <c r="T13" s="8" t="str">
        <f aca="false">IF(S13="","",S13+14)</f>
        <v/>
      </c>
      <c r="U13" s="8"/>
      <c r="V13" s="7"/>
      <c r="W13" s="7"/>
    </row>
    <row r="14" customFormat="false" ht="33.75" hidden="false" customHeight="true" outlineLevel="0" collapsed="false">
      <c r="A14" s="6" t="n">
        <v>2</v>
      </c>
      <c r="B14" s="6" t="s">
        <v>23</v>
      </c>
      <c r="C14" s="6" t="s">
        <v>79</v>
      </c>
      <c r="D14" s="7" t="s">
        <v>113</v>
      </c>
      <c r="E14" s="6" t="s">
        <v>114</v>
      </c>
      <c r="F14" s="6" t="s">
        <v>115</v>
      </c>
      <c r="G14" s="6" t="s">
        <v>28</v>
      </c>
      <c r="H14" s="6" t="s">
        <v>116</v>
      </c>
      <c r="I14" s="7" t="s">
        <v>117</v>
      </c>
      <c r="J14" s="7" t="s">
        <v>31</v>
      </c>
      <c r="K14" s="7" t="s">
        <v>118</v>
      </c>
      <c r="L14" s="6" t="s">
        <v>86</v>
      </c>
      <c r="M14" s="6" t="s">
        <v>87</v>
      </c>
      <c r="N14" s="6" t="s">
        <v>88</v>
      </c>
      <c r="O14" s="6" t="s">
        <v>89</v>
      </c>
      <c r="P14" s="7" t="s">
        <v>90</v>
      </c>
      <c r="Q14" s="7" t="s">
        <v>119</v>
      </c>
      <c r="R14" s="6" t="s">
        <v>39</v>
      </c>
      <c r="S14" s="8"/>
      <c r="T14" s="8" t="str">
        <f aca="false">IF(S14="","",S14+14)</f>
        <v/>
      </c>
      <c r="U14" s="8"/>
      <c r="V14" s="7"/>
      <c r="W14" s="7"/>
    </row>
    <row r="15" customFormat="false" ht="33.75" hidden="false" customHeight="true" outlineLevel="0" collapsed="false">
      <c r="A15" s="6" t="n">
        <v>2</v>
      </c>
      <c r="B15" s="6" t="s">
        <v>23</v>
      </c>
      <c r="C15" s="6" t="s">
        <v>79</v>
      </c>
      <c r="D15" s="7" t="s">
        <v>120</v>
      </c>
      <c r="E15" s="6" t="s">
        <v>121</v>
      </c>
      <c r="F15" s="6" t="s">
        <v>122</v>
      </c>
      <c r="G15" s="6" t="s">
        <v>28</v>
      </c>
      <c r="H15" s="6" t="s">
        <v>123</v>
      </c>
      <c r="I15" s="7" t="s">
        <v>124</v>
      </c>
      <c r="J15" s="7" t="s">
        <v>31</v>
      </c>
      <c r="K15" s="7" t="s">
        <v>118</v>
      </c>
      <c r="L15" s="6" t="s">
        <v>125</v>
      </c>
      <c r="M15" s="6" t="s">
        <v>87</v>
      </c>
      <c r="N15" s="6" t="s">
        <v>88</v>
      </c>
      <c r="O15" s="6" t="s">
        <v>89</v>
      </c>
      <c r="P15" s="7" t="s">
        <v>90</v>
      </c>
      <c r="Q15" s="7" t="s">
        <v>126</v>
      </c>
      <c r="R15" s="6" t="s">
        <v>39</v>
      </c>
      <c r="S15" s="8"/>
      <c r="T15" s="8" t="str">
        <f aca="false">IF(S15="","",S15+14)</f>
        <v/>
      </c>
      <c r="U15" s="8"/>
      <c r="V15" s="7"/>
      <c r="W15" s="7"/>
    </row>
    <row r="16" customFormat="false" ht="33.75" hidden="false" customHeight="true" outlineLevel="0" collapsed="false">
      <c r="A16" s="6" t="n">
        <v>2</v>
      </c>
      <c r="B16" s="6" t="s">
        <v>23</v>
      </c>
      <c r="C16" s="6" t="s">
        <v>79</v>
      </c>
      <c r="D16" s="7" t="s">
        <v>127</v>
      </c>
      <c r="E16" s="6" t="s">
        <v>128</v>
      </c>
      <c r="F16" s="6" t="s">
        <v>129</v>
      </c>
      <c r="G16" s="6" t="s">
        <v>70</v>
      </c>
      <c r="H16" s="6" t="s">
        <v>130</v>
      </c>
      <c r="I16" s="7" t="s">
        <v>131</v>
      </c>
      <c r="J16" s="7" t="s">
        <v>132</v>
      </c>
      <c r="K16" s="7" t="s">
        <v>118</v>
      </c>
      <c r="L16" s="6" t="s">
        <v>86</v>
      </c>
      <c r="M16" s="6" t="s">
        <v>87</v>
      </c>
      <c r="N16" s="6" t="s">
        <v>88</v>
      </c>
      <c r="O16" s="6" t="s">
        <v>89</v>
      </c>
      <c r="P16" s="7" t="s">
        <v>90</v>
      </c>
      <c r="Q16" s="7" t="s">
        <v>133</v>
      </c>
      <c r="R16" s="6" t="s">
        <v>39</v>
      </c>
      <c r="S16" s="8"/>
      <c r="T16" s="8" t="str">
        <f aca="false">IF(S16="","",S16+14)</f>
        <v/>
      </c>
      <c r="U16" s="8"/>
      <c r="V16" s="7"/>
      <c r="W16" s="7"/>
    </row>
    <row r="17" customFormat="false" ht="33.75" hidden="false" customHeight="true" outlineLevel="0" collapsed="false">
      <c r="A17" s="6" t="n">
        <v>2</v>
      </c>
      <c r="B17" s="6" t="s">
        <v>23</v>
      </c>
      <c r="C17" s="6" t="s">
        <v>79</v>
      </c>
      <c r="D17" s="7" t="s">
        <v>134</v>
      </c>
      <c r="E17" s="6" t="s">
        <v>135</v>
      </c>
      <c r="F17" s="6" t="s">
        <v>136</v>
      </c>
      <c r="G17" s="6" t="s">
        <v>70</v>
      </c>
      <c r="H17" s="6" t="s">
        <v>137</v>
      </c>
      <c r="I17" s="7" t="s">
        <v>138</v>
      </c>
      <c r="J17" s="7" t="s">
        <v>31</v>
      </c>
      <c r="K17" s="7" t="s">
        <v>118</v>
      </c>
      <c r="L17" s="6" t="s">
        <v>105</v>
      </c>
      <c r="M17" s="6" t="s">
        <v>87</v>
      </c>
      <c r="N17" s="6" t="s">
        <v>88</v>
      </c>
      <c r="O17" s="6" t="s">
        <v>89</v>
      </c>
      <c r="P17" s="7" t="s">
        <v>90</v>
      </c>
      <c r="Q17" s="7"/>
      <c r="R17" s="6" t="s">
        <v>39</v>
      </c>
      <c r="S17" s="8"/>
      <c r="T17" s="8" t="str">
        <f aca="false">IF(S17="","",S17+14)</f>
        <v/>
      </c>
      <c r="U17" s="8"/>
      <c r="V17" s="7"/>
      <c r="W17" s="7"/>
    </row>
    <row r="18" customFormat="false" ht="33.75" hidden="false" customHeight="true" outlineLevel="0" collapsed="false">
      <c r="A18" s="2" t="n">
        <v>1</v>
      </c>
      <c r="B18" s="2" t="s">
        <v>139</v>
      </c>
      <c r="C18" s="2" t="s">
        <v>24</v>
      </c>
      <c r="D18" s="3" t="s">
        <v>140</v>
      </c>
      <c r="E18" s="2" t="s">
        <v>141</v>
      </c>
      <c r="F18" s="2" t="s">
        <v>142</v>
      </c>
      <c r="G18" s="2" t="s">
        <v>28</v>
      </c>
      <c r="H18" s="2" t="s">
        <v>143</v>
      </c>
      <c r="I18" s="3" t="s">
        <v>144</v>
      </c>
      <c r="J18" s="3" t="s">
        <v>31</v>
      </c>
      <c r="K18" s="3" t="s">
        <v>145</v>
      </c>
      <c r="L18" s="2" t="s">
        <v>146</v>
      </c>
      <c r="M18" s="2" t="s">
        <v>87</v>
      </c>
      <c r="N18" s="2" t="s">
        <v>88</v>
      </c>
      <c r="O18" s="2" t="s">
        <v>147</v>
      </c>
      <c r="P18" s="3" t="s">
        <v>90</v>
      </c>
      <c r="Q18" s="3" t="s">
        <v>148</v>
      </c>
      <c r="R18" s="2" t="s">
        <v>39</v>
      </c>
      <c r="S18" s="5"/>
      <c r="T18" s="5" t="str">
        <f aca="false">IF(S18="","",S18+14)</f>
        <v/>
      </c>
      <c r="U18" s="5"/>
      <c r="V18" s="3"/>
      <c r="W18" s="3"/>
    </row>
    <row r="19" customFormat="false" ht="33.75" hidden="false" customHeight="true" outlineLevel="0" collapsed="false">
      <c r="A19" s="2" t="n">
        <v>1</v>
      </c>
      <c r="B19" s="2" t="s">
        <v>139</v>
      </c>
      <c r="C19" s="2" t="s">
        <v>24</v>
      </c>
      <c r="D19" s="3" t="s">
        <v>149</v>
      </c>
      <c r="E19" s="2" t="s">
        <v>150</v>
      </c>
      <c r="F19" s="2" t="s">
        <v>151</v>
      </c>
      <c r="G19" s="2" t="s">
        <v>28</v>
      </c>
      <c r="H19" s="2" t="s">
        <v>152</v>
      </c>
      <c r="I19" s="3" t="s">
        <v>153</v>
      </c>
      <c r="J19" s="3" t="s">
        <v>154</v>
      </c>
      <c r="K19" s="3" t="s">
        <v>145</v>
      </c>
      <c r="L19" s="2" t="s">
        <v>155</v>
      </c>
      <c r="M19" s="2" t="s">
        <v>87</v>
      </c>
      <c r="N19" s="2" t="s">
        <v>88</v>
      </c>
      <c r="O19" s="2" t="s">
        <v>147</v>
      </c>
      <c r="P19" s="3" t="s">
        <v>90</v>
      </c>
      <c r="Q19" s="3" t="s">
        <v>156</v>
      </c>
      <c r="R19" s="2" t="s">
        <v>39</v>
      </c>
      <c r="S19" s="5"/>
      <c r="T19" s="5" t="str">
        <f aca="false">IF(S19="","",S19+14)</f>
        <v/>
      </c>
      <c r="U19" s="5"/>
      <c r="V19" s="3"/>
      <c r="W19" s="3"/>
    </row>
    <row r="20" customFormat="false" ht="33.75" hidden="false" customHeight="true" outlineLevel="0" collapsed="false">
      <c r="A20" s="2" t="n">
        <v>1</v>
      </c>
      <c r="B20" s="2" t="s">
        <v>139</v>
      </c>
      <c r="C20" s="2" t="s">
        <v>24</v>
      </c>
      <c r="D20" s="3" t="s">
        <v>157</v>
      </c>
      <c r="E20" s="2" t="s">
        <v>158</v>
      </c>
      <c r="F20" s="2"/>
      <c r="G20" s="2" t="s">
        <v>28</v>
      </c>
      <c r="H20" s="2" t="s">
        <v>159</v>
      </c>
      <c r="I20" s="3" t="s">
        <v>160</v>
      </c>
      <c r="J20" s="3" t="s">
        <v>31</v>
      </c>
      <c r="K20" s="3" t="s">
        <v>161</v>
      </c>
      <c r="L20" s="2" t="s">
        <v>146</v>
      </c>
      <c r="M20" s="2" t="s">
        <v>87</v>
      </c>
      <c r="N20" s="2" t="s">
        <v>88</v>
      </c>
      <c r="O20" s="2" t="s">
        <v>147</v>
      </c>
      <c r="P20" s="3" t="s">
        <v>90</v>
      </c>
      <c r="Q20" s="3"/>
      <c r="R20" s="2" t="s">
        <v>39</v>
      </c>
      <c r="S20" s="5"/>
      <c r="T20" s="5" t="str">
        <f aca="false">IF(S20="","",S20+14)</f>
        <v/>
      </c>
      <c r="U20" s="5"/>
      <c r="V20" s="3"/>
      <c r="W20" s="3"/>
    </row>
    <row r="21" customFormat="false" ht="33.75" hidden="false" customHeight="true" outlineLevel="0" collapsed="false">
      <c r="A21" s="6" t="n">
        <v>2</v>
      </c>
      <c r="B21" s="6" t="s">
        <v>139</v>
      </c>
      <c r="C21" s="6" t="s">
        <v>24</v>
      </c>
      <c r="D21" s="7" t="s">
        <v>162</v>
      </c>
      <c r="E21" s="6" t="s">
        <v>163</v>
      </c>
      <c r="F21" s="6"/>
      <c r="G21" s="6" t="s">
        <v>28</v>
      </c>
      <c r="H21" s="6" t="s">
        <v>164</v>
      </c>
      <c r="I21" s="7" t="s">
        <v>165</v>
      </c>
      <c r="J21" s="7" t="s">
        <v>31</v>
      </c>
      <c r="K21" s="7" t="s">
        <v>166</v>
      </c>
      <c r="L21" s="6" t="s">
        <v>146</v>
      </c>
      <c r="M21" s="6" t="s">
        <v>87</v>
      </c>
      <c r="N21" s="6" t="s">
        <v>88</v>
      </c>
      <c r="O21" s="6" t="s">
        <v>147</v>
      </c>
      <c r="P21" s="7" t="s">
        <v>90</v>
      </c>
      <c r="Q21" s="7"/>
      <c r="R21" s="6" t="s">
        <v>39</v>
      </c>
      <c r="S21" s="8"/>
      <c r="T21" s="8" t="str">
        <f aca="false">IF(S21="","",S21+14)</f>
        <v/>
      </c>
      <c r="U21" s="8"/>
      <c r="V21" s="7"/>
      <c r="W21" s="7"/>
    </row>
    <row r="22" customFormat="false" ht="33.75" hidden="false" customHeight="true" outlineLevel="0" collapsed="false">
      <c r="A22" s="6" t="n">
        <v>2</v>
      </c>
      <c r="B22" s="6" t="s">
        <v>139</v>
      </c>
      <c r="C22" s="6" t="s">
        <v>24</v>
      </c>
      <c r="D22" s="7" t="s">
        <v>167</v>
      </c>
      <c r="E22" s="6" t="s">
        <v>168</v>
      </c>
      <c r="F22" s="6"/>
      <c r="G22" s="6" t="s">
        <v>28</v>
      </c>
      <c r="H22" s="6" t="s">
        <v>169</v>
      </c>
      <c r="I22" s="7" t="s">
        <v>170</v>
      </c>
      <c r="J22" s="7" t="s">
        <v>31</v>
      </c>
      <c r="K22" s="7" t="s">
        <v>45</v>
      </c>
      <c r="L22" s="6" t="s">
        <v>146</v>
      </c>
      <c r="M22" s="6" t="s">
        <v>87</v>
      </c>
      <c r="N22" s="6" t="s">
        <v>88</v>
      </c>
      <c r="O22" s="6" t="s">
        <v>147</v>
      </c>
      <c r="P22" s="7" t="s">
        <v>90</v>
      </c>
      <c r="Q22" s="7"/>
      <c r="R22" s="6" t="s">
        <v>39</v>
      </c>
      <c r="S22" s="8"/>
      <c r="T22" s="8" t="str">
        <f aca="false">IF(S22="","",S22+14)</f>
        <v/>
      </c>
      <c r="U22" s="8"/>
      <c r="V22" s="7"/>
      <c r="W22" s="7"/>
    </row>
    <row r="23" customFormat="false" ht="33.75" hidden="false" customHeight="true" outlineLevel="0" collapsed="false">
      <c r="A23" s="6" t="n">
        <v>2</v>
      </c>
      <c r="B23" s="6" t="s">
        <v>139</v>
      </c>
      <c r="C23" s="6" t="s">
        <v>24</v>
      </c>
      <c r="D23" s="7" t="s">
        <v>171</v>
      </c>
      <c r="E23" s="6" t="s">
        <v>172</v>
      </c>
      <c r="F23" s="6"/>
      <c r="G23" s="6" t="s">
        <v>28</v>
      </c>
      <c r="H23" s="6" t="s">
        <v>173</v>
      </c>
      <c r="I23" s="7" t="s">
        <v>174</v>
      </c>
      <c r="J23" s="7" t="s">
        <v>31</v>
      </c>
      <c r="K23" s="7" t="s">
        <v>45</v>
      </c>
      <c r="L23" s="6" t="s">
        <v>146</v>
      </c>
      <c r="M23" s="6" t="s">
        <v>87</v>
      </c>
      <c r="N23" s="6" t="s">
        <v>88</v>
      </c>
      <c r="O23" s="6" t="s">
        <v>147</v>
      </c>
      <c r="P23" s="7" t="s">
        <v>90</v>
      </c>
      <c r="Q23" s="7" t="s">
        <v>175</v>
      </c>
      <c r="R23" s="6" t="s">
        <v>39</v>
      </c>
      <c r="S23" s="8"/>
      <c r="T23" s="8" t="str">
        <f aca="false">IF(S23="","",S23+14)</f>
        <v/>
      </c>
      <c r="U23" s="8"/>
      <c r="V23" s="7"/>
      <c r="W23" s="7"/>
    </row>
    <row r="24" customFormat="false" ht="33.75" hidden="false" customHeight="true" outlineLevel="0" collapsed="false">
      <c r="A24" s="6" t="n">
        <v>2</v>
      </c>
      <c r="B24" s="6" t="s">
        <v>139</v>
      </c>
      <c r="C24" s="6" t="s">
        <v>24</v>
      </c>
      <c r="D24" s="7" t="s">
        <v>176</v>
      </c>
      <c r="E24" s="6" t="s">
        <v>177</v>
      </c>
      <c r="F24" s="6" t="s">
        <v>178</v>
      </c>
      <c r="G24" s="6" t="s">
        <v>70</v>
      </c>
      <c r="H24" s="6" t="s">
        <v>179</v>
      </c>
      <c r="I24" s="7" t="s">
        <v>180</v>
      </c>
      <c r="J24" s="7" t="s">
        <v>31</v>
      </c>
      <c r="K24" s="7" t="s">
        <v>181</v>
      </c>
      <c r="L24" s="6" t="s">
        <v>182</v>
      </c>
      <c r="M24" s="6" t="s">
        <v>87</v>
      </c>
      <c r="N24" s="6" t="s">
        <v>88</v>
      </c>
      <c r="O24" s="6" t="s">
        <v>147</v>
      </c>
      <c r="P24" s="7" t="s">
        <v>90</v>
      </c>
      <c r="Q24" s="7" t="s">
        <v>183</v>
      </c>
      <c r="R24" s="6" t="s">
        <v>39</v>
      </c>
      <c r="S24" s="8"/>
      <c r="T24" s="8" t="str">
        <f aca="false">IF(S24="","",S24+14)</f>
        <v/>
      </c>
      <c r="U24" s="8"/>
      <c r="V24" s="7"/>
      <c r="W24" s="7"/>
    </row>
    <row r="25" customFormat="false" ht="33.75" hidden="false" customHeight="true" outlineLevel="0" collapsed="false">
      <c r="A25" s="2" t="n">
        <v>1</v>
      </c>
      <c r="B25" s="2" t="s">
        <v>139</v>
      </c>
      <c r="C25" s="2" t="s">
        <v>79</v>
      </c>
      <c r="D25" s="3" t="s">
        <v>184</v>
      </c>
      <c r="E25" s="2" t="s">
        <v>185</v>
      </c>
      <c r="F25" s="2" t="s">
        <v>186</v>
      </c>
      <c r="G25" s="2" t="s">
        <v>28</v>
      </c>
      <c r="H25" s="2" t="s">
        <v>187</v>
      </c>
      <c r="I25" s="3" t="s">
        <v>188</v>
      </c>
      <c r="J25" s="3" t="s">
        <v>31</v>
      </c>
      <c r="K25" s="3" t="s">
        <v>189</v>
      </c>
      <c r="L25" s="2" t="s">
        <v>146</v>
      </c>
      <c r="M25" s="2" t="s">
        <v>87</v>
      </c>
      <c r="N25" s="2" t="s">
        <v>88</v>
      </c>
      <c r="O25" s="2" t="s">
        <v>147</v>
      </c>
      <c r="P25" s="3" t="s">
        <v>90</v>
      </c>
      <c r="Q25" s="3" t="s">
        <v>190</v>
      </c>
      <c r="R25" s="2" t="s">
        <v>39</v>
      </c>
      <c r="S25" s="5"/>
      <c r="T25" s="5" t="str">
        <f aca="false">IF(S25="","",S25+14)</f>
        <v/>
      </c>
      <c r="U25" s="5"/>
      <c r="V25" s="3"/>
      <c r="W25" s="3"/>
    </row>
    <row r="26" customFormat="false" ht="33.75" hidden="false" customHeight="true" outlineLevel="0" collapsed="false">
      <c r="A26" s="6" t="n">
        <v>2</v>
      </c>
      <c r="B26" s="6" t="s">
        <v>139</v>
      </c>
      <c r="C26" s="6" t="s">
        <v>79</v>
      </c>
      <c r="D26" s="7" t="s">
        <v>191</v>
      </c>
      <c r="E26" s="6" t="s">
        <v>192</v>
      </c>
      <c r="F26" s="6" t="s">
        <v>193</v>
      </c>
      <c r="G26" s="6" t="s">
        <v>28</v>
      </c>
      <c r="H26" s="6" t="s">
        <v>194</v>
      </c>
      <c r="I26" s="7" t="s">
        <v>195</v>
      </c>
      <c r="J26" s="7" t="s">
        <v>31</v>
      </c>
      <c r="K26" s="7" t="s">
        <v>196</v>
      </c>
      <c r="L26" s="6" t="s">
        <v>146</v>
      </c>
      <c r="M26" s="6" t="s">
        <v>87</v>
      </c>
      <c r="N26" s="6" t="s">
        <v>88</v>
      </c>
      <c r="O26" s="6" t="s">
        <v>147</v>
      </c>
      <c r="P26" s="7" t="s">
        <v>90</v>
      </c>
      <c r="Q26" s="7"/>
      <c r="R26" s="6" t="s">
        <v>39</v>
      </c>
      <c r="S26" s="8"/>
      <c r="T26" s="8" t="str">
        <f aca="false">IF(S26="","",S26+14)</f>
        <v/>
      </c>
      <c r="U26" s="8"/>
      <c r="V26" s="7"/>
      <c r="W26" s="7"/>
    </row>
    <row r="27" customFormat="false" ht="33.75" hidden="false" customHeight="true" outlineLevel="0" collapsed="false">
      <c r="A27" s="6" t="n">
        <v>2</v>
      </c>
      <c r="B27" s="6" t="s">
        <v>139</v>
      </c>
      <c r="C27" s="6" t="s">
        <v>79</v>
      </c>
      <c r="D27" s="7" t="s">
        <v>197</v>
      </c>
      <c r="E27" s="6" t="s">
        <v>198</v>
      </c>
      <c r="F27" s="6" t="s">
        <v>199</v>
      </c>
      <c r="G27" s="6" t="s">
        <v>28</v>
      </c>
      <c r="H27" s="6" t="s">
        <v>200</v>
      </c>
      <c r="I27" s="7" t="s">
        <v>201</v>
      </c>
      <c r="J27" s="7" t="s">
        <v>31</v>
      </c>
      <c r="K27" s="7" t="s">
        <v>118</v>
      </c>
      <c r="L27" s="6" t="s">
        <v>202</v>
      </c>
      <c r="M27" s="6" t="s">
        <v>87</v>
      </c>
      <c r="N27" s="6" t="s">
        <v>88</v>
      </c>
      <c r="O27" s="6" t="s">
        <v>147</v>
      </c>
      <c r="P27" s="7" t="s">
        <v>90</v>
      </c>
      <c r="Q27" s="7" t="s">
        <v>203</v>
      </c>
      <c r="R27" s="6" t="s">
        <v>39</v>
      </c>
      <c r="S27" s="8"/>
      <c r="T27" s="8" t="str">
        <f aca="false">IF(S27="","",S27+14)</f>
        <v/>
      </c>
      <c r="U27" s="8"/>
      <c r="V27" s="7"/>
      <c r="W27" s="7"/>
    </row>
    <row r="28" customFormat="false" ht="33.75" hidden="false" customHeight="true" outlineLevel="0" collapsed="false">
      <c r="A28" s="6" t="n">
        <v>2</v>
      </c>
      <c r="B28" s="6" t="s">
        <v>139</v>
      </c>
      <c r="C28" s="6" t="s">
        <v>79</v>
      </c>
      <c r="D28" s="7" t="s">
        <v>204</v>
      </c>
      <c r="E28" s="6" t="s">
        <v>205</v>
      </c>
      <c r="F28" s="6" t="s">
        <v>206</v>
      </c>
      <c r="G28" s="6" t="s">
        <v>28</v>
      </c>
      <c r="H28" s="6" t="s">
        <v>207</v>
      </c>
      <c r="I28" s="7" t="s">
        <v>208</v>
      </c>
      <c r="J28" s="7" t="s">
        <v>31</v>
      </c>
      <c r="K28" s="7" t="s">
        <v>209</v>
      </c>
      <c r="L28" s="6" t="s">
        <v>146</v>
      </c>
      <c r="M28" s="6" t="s">
        <v>87</v>
      </c>
      <c r="N28" s="6" t="s">
        <v>88</v>
      </c>
      <c r="O28" s="6" t="s">
        <v>147</v>
      </c>
      <c r="P28" s="7" t="s">
        <v>90</v>
      </c>
      <c r="Q28" s="7"/>
      <c r="R28" s="6" t="s">
        <v>39</v>
      </c>
      <c r="S28" s="8"/>
      <c r="T28" s="8" t="str">
        <f aca="false">IF(S28="","",S28+14)</f>
        <v/>
      </c>
      <c r="U28" s="8"/>
      <c r="V28" s="7"/>
      <c r="W28" s="7"/>
    </row>
    <row r="29" customFormat="false" ht="33.75" hidden="false" customHeight="true" outlineLevel="0" collapsed="false">
      <c r="A29" s="6" t="n">
        <v>2</v>
      </c>
      <c r="B29" s="6" t="s">
        <v>139</v>
      </c>
      <c r="C29" s="6" t="s">
        <v>79</v>
      </c>
      <c r="D29" s="7" t="s">
        <v>210</v>
      </c>
      <c r="E29" s="6" t="s">
        <v>211</v>
      </c>
      <c r="F29" s="6" t="s">
        <v>212</v>
      </c>
      <c r="G29" s="6" t="s">
        <v>28</v>
      </c>
      <c r="H29" s="6" t="s">
        <v>213</v>
      </c>
      <c r="I29" s="7" t="s">
        <v>214</v>
      </c>
      <c r="J29" s="7" t="s">
        <v>31</v>
      </c>
      <c r="K29" s="7" t="s">
        <v>215</v>
      </c>
      <c r="L29" s="6" t="s">
        <v>216</v>
      </c>
      <c r="M29" s="6" t="s">
        <v>87</v>
      </c>
      <c r="N29" s="6" t="s">
        <v>88</v>
      </c>
      <c r="O29" s="6" t="s">
        <v>147</v>
      </c>
      <c r="P29" s="7" t="s">
        <v>90</v>
      </c>
      <c r="Q29" s="7" t="s">
        <v>217</v>
      </c>
      <c r="R29" s="6" t="s">
        <v>39</v>
      </c>
      <c r="S29" s="8"/>
      <c r="T29" s="8" t="str">
        <f aca="false">IF(S29="","",S29+14)</f>
        <v/>
      </c>
      <c r="U29" s="8"/>
      <c r="V29" s="7"/>
      <c r="W29" s="7"/>
    </row>
    <row r="30" customFormat="false" ht="33.75" hidden="false" customHeight="true" outlineLevel="0" collapsed="false">
      <c r="A30" s="6" t="n">
        <v>2</v>
      </c>
      <c r="B30" s="6" t="s">
        <v>139</v>
      </c>
      <c r="C30" s="6" t="s">
        <v>79</v>
      </c>
      <c r="D30" s="7" t="s">
        <v>218</v>
      </c>
      <c r="E30" s="6" t="s">
        <v>219</v>
      </c>
      <c r="F30" s="6" t="s">
        <v>220</v>
      </c>
      <c r="G30" s="6" t="s">
        <v>221</v>
      </c>
      <c r="H30" s="6"/>
      <c r="I30" s="7" t="s">
        <v>222</v>
      </c>
      <c r="J30" s="7" t="s">
        <v>31</v>
      </c>
      <c r="K30" s="7" t="s">
        <v>118</v>
      </c>
      <c r="L30" s="6" t="s">
        <v>146</v>
      </c>
      <c r="M30" s="6" t="s">
        <v>87</v>
      </c>
      <c r="N30" s="6" t="s">
        <v>88</v>
      </c>
      <c r="O30" s="6" t="s">
        <v>147</v>
      </c>
      <c r="P30" s="7" t="s">
        <v>90</v>
      </c>
      <c r="Q30" s="7" t="s">
        <v>223</v>
      </c>
      <c r="R30" s="6" t="s">
        <v>39</v>
      </c>
      <c r="S30" s="8"/>
      <c r="T30" s="8" t="str">
        <f aca="false">IF(S30="","",S30+14)</f>
        <v/>
      </c>
      <c r="U30" s="8"/>
      <c r="V30" s="7"/>
      <c r="W30" s="7"/>
    </row>
    <row r="31" customFormat="false" ht="33.75" hidden="false" customHeight="true" outlineLevel="0" collapsed="false">
      <c r="A31" s="6" t="n">
        <v>2</v>
      </c>
      <c r="B31" s="6" t="s">
        <v>139</v>
      </c>
      <c r="C31" s="6" t="s">
        <v>79</v>
      </c>
      <c r="D31" s="7" t="s">
        <v>224</v>
      </c>
      <c r="E31" s="6" t="s">
        <v>225</v>
      </c>
      <c r="F31" s="6" t="s">
        <v>226</v>
      </c>
      <c r="G31" s="6" t="s">
        <v>221</v>
      </c>
      <c r="H31" s="6"/>
      <c r="I31" s="7" t="s">
        <v>227</v>
      </c>
      <c r="J31" s="7" t="s">
        <v>31</v>
      </c>
      <c r="K31" s="7" t="s">
        <v>118</v>
      </c>
      <c r="L31" s="6" t="s">
        <v>146</v>
      </c>
      <c r="M31" s="6" t="s">
        <v>87</v>
      </c>
      <c r="N31" s="6" t="s">
        <v>88</v>
      </c>
      <c r="O31" s="6" t="s">
        <v>147</v>
      </c>
      <c r="P31" s="7" t="s">
        <v>90</v>
      </c>
      <c r="Q31" s="7" t="s">
        <v>228</v>
      </c>
      <c r="R31" s="6" t="s">
        <v>39</v>
      </c>
      <c r="S31" s="8"/>
      <c r="T31" s="8" t="str">
        <f aca="false">IF(S31="","",S31+14)</f>
        <v/>
      </c>
      <c r="U31" s="8"/>
      <c r="V31" s="7"/>
      <c r="W31" s="7"/>
    </row>
    <row r="32" customFormat="false" ht="33.75" hidden="false" customHeight="true" outlineLevel="0" collapsed="false">
      <c r="A32" s="6" t="n">
        <v>2</v>
      </c>
      <c r="B32" s="6" t="s">
        <v>139</v>
      </c>
      <c r="C32" s="6" t="s">
        <v>79</v>
      </c>
      <c r="D32" s="7" t="s">
        <v>229</v>
      </c>
      <c r="E32" s="6" t="s">
        <v>230</v>
      </c>
      <c r="F32" s="6" t="s">
        <v>231</v>
      </c>
      <c r="G32" s="6" t="s">
        <v>28</v>
      </c>
      <c r="H32" s="6" t="s">
        <v>232</v>
      </c>
      <c r="I32" s="7" t="s">
        <v>233</v>
      </c>
      <c r="J32" s="7" t="s">
        <v>31</v>
      </c>
      <c r="K32" s="7" t="s">
        <v>118</v>
      </c>
      <c r="L32" s="6" t="s">
        <v>146</v>
      </c>
      <c r="M32" s="6" t="s">
        <v>87</v>
      </c>
      <c r="N32" s="6" t="s">
        <v>88</v>
      </c>
      <c r="O32" s="6" t="s">
        <v>147</v>
      </c>
      <c r="P32" s="7" t="s">
        <v>90</v>
      </c>
      <c r="Q32" s="7" t="s">
        <v>234</v>
      </c>
      <c r="R32" s="6" t="s">
        <v>39</v>
      </c>
      <c r="S32" s="8"/>
      <c r="T32" s="8" t="str">
        <f aca="false">IF(S32="","",S32+14)</f>
        <v/>
      </c>
      <c r="U32" s="8"/>
      <c r="V32" s="7"/>
      <c r="W32" s="7"/>
    </row>
    <row r="33" customFormat="false" ht="33.75" hidden="false" customHeight="true" outlineLevel="0" collapsed="false">
      <c r="A33" s="2" t="n">
        <v>1</v>
      </c>
      <c r="B33" s="2" t="s">
        <v>235</v>
      </c>
      <c r="C33" s="2" t="s">
        <v>24</v>
      </c>
      <c r="D33" s="3" t="s">
        <v>236</v>
      </c>
      <c r="E33" s="2" t="s">
        <v>237</v>
      </c>
      <c r="F33" s="2" t="s">
        <v>238</v>
      </c>
      <c r="G33" s="2" t="s">
        <v>28</v>
      </c>
      <c r="H33" s="2" t="s">
        <v>239</v>
      </c>
      <c r="I33" s="3" t="s">
        <v>240</v>
      </c>
      <c r="J33" s="3" t="s">
        <v>31</v>
      </c>
      <c r="K33" s="3" t="s">
        <v>241</v>
      </c>
      <c r="L33" s="2" t="s">
        <v>242</v>
      </c>
      <c r="M33" s="2" t="s">
        <v>34</v>
      </c>
      <c r="N33" s="4" t="s">
        <v>35</v>
      </c>
      <c r="O33" s="2" t="s">
        <v>243</v>
      </c>
      <c r="P33" s="3" t="s">
        <v>37</v>
      </c>
      <c r="Q33" s="3" t="s">
        <v>244</v>
      </c>
      <c r="R33" s="2" t="s">
        <v>39</v>
      </c>
      <c r="S33" s="5"/>
      <c r="T33" s="5" t="str">
        <f aca="false">IF(S33="","",S33+14)</f>
        <v/>
      </c>
      <c r="U33" s="5"/>
      <c r="V33" s="3"/>
      <c r="W33" s="3"/>
    </row>
    <row r="34" customFormat="false" ht="33.75" hidden="false" customHeight="true" outlineLevel="0" collapsed="false">
      <c r="A34" s="6" t="n">
        <v>2</v>
      </c>
      <c r="B34" s="6" t="s">
        <v>235</v>
      </c>
      <c r="C34" s="6" t="s">
        <v>24</v>
      </c>
      <c r="D34" s="7" t="s">
        <v>245</v>
      </c>
      <c r="E34" s="6" t="s">
        <v>246</v>
      </c>
      <c r="F34" s="6" t="s">
        <v>247</v>
      </c>
      <c r="G34" s="6" t="s">
        <v>28</v>
      </c>
      <c r="H34" s="6" t="s">
        <v>248</v>
      </c>
      <c r="I34" s="7" t="s">
        <v>249</v>
      </c>
      <c r="J34" s="7" t="s">
        <v>31</v>
      </c>
      <c r="K34" s="7" t="s">
        <v>250</v>
      </c>
      <c r="L34" s="6" t="s">
        <v>105</v>
      </c>
      <c r="M34" s="6" t="s">
        <v>34</v>
      </c>
      <c r="N34" s="4" t="s">
        <v>35</v>
      </c>
      <c r="O34" s="6" t="s">
        <v>243</v>
      </c>
      <c r="P34" s="7" t="s">
        <v>37</v>
      </c>
      <c r="Q34" s="7" t="s">
        <v>251</v>
      </c>
      <c r="R34" s="6" t="s">
        <v>39</v>
      </c>
      <c r="S34" s="8"/>
      <c r="T34" s="8" t="str">
        <f aca="false">IF(S34="","",S34+14)</f>
        <v/>
      </c>
      <c r="U34" s="8"/>
      <c r="V34" s="7"/>
      <c r="W34" s="7"/>
    </row>
    <row r="35" customFormat="false" ht="33.75" hidden="false" customHeight="true" outlineLevel="0" collapsed="false">
      <c r="A35" s="6" t="n">
        <v>2</v>
      </c>
      <c r="B35" s="6" t="s">
        <v>235</v>
      </c>
      <c r="C35" s="6" t="s">
        <v>24</v>
      </c>
      <c r="D35" s="7" t="s">
        <v>252</v>
      </c>
      <c r="E35" s="6" t="s">
        <v>253</v>
      </c>
      <c r="F35" s="6" t="s">
        <v>254</v>
      </c>
      <c r="G35" s="6" t="s">
        <v>28</v>
      </c>
      <c r="H35" s="6" t="s">
        <v>255</v>
      </c>
      <c r="I35" s="7" t="s">
        <v>256</v>
      </c>
      <c r="J35" s="7" t="s">
        <v>31</v>
      </c>
      <c r="K35" s="7" t="s">
        <v>257</v>
      </c>
      <c r="L35" s="6" t="s">
        <v>105</v>
      </c>
      <c r="M35" s="6" t="s">
        <v>34</v>
      </c>
      <c r="N35" s="4" t="s">
        <v>35</v>
      </c>
      <c r="O35" s="6" t="s">
        <v>243</v>
      </c>
      <c r="P35" s="7" t="s">
        <v>37</v>
      </c>
      <c r="Q35" s="7"/>
      <c r="R35" s="6" t="s">
        <v>39</v>
      </c>
      <c r="S35" s="8"/>
      <c r="T35" s="8" t="str">
        <f aca="false">IF(S35="","",S35+14)</f>
        <v/>
      </c>
      <c r="U35" s="8"/>
      <c r="V35" s="7"/>
      <c r="W35" s="7"/>
    </row>
    <row r="36" customFormat="false" ht="33.75" hidden="false" customHeight="true" outlineLevel="0" collapsed="false">
      <c r="A36" s="6" t="n">
        <v>2</v>
      </c>
      <c r="B36" s="6" t="s">
        <v>235</v>
      </c>
      <c r="C36" s="6" t="s">
        <v>24</v>
      </c>
      <c r="D36" s="7" t="s">
        <v>258</v>
      </c>
      <c r="E36" s="6" t="s">
        <v>259</v>
      </c>
      <c r="F36" s="6" t="s">
        <v>260</v>
      </c>
      <c r="G36" s="6" t="s">
        <v>28</v>
      </c>
      <c r="H36" s="6" t="s">
        <v>261</v>
      </c>
      <c r="I36" s="7" t="s">
        <v>262</v>
      </c>
      <c r="J36" s="7" t="s">
        <v>31</v>
      </c>
      <c r="K36" s="7" t="s">
        <v>263</v>
      </c>
      <c r="L36" s="6" t="s">
        <v>105</v>
      </c>
      <c r="M36" s="6" t="s">
        <v>34</v>
      </c>
      <c r="N36" s="4" t="s">
        <v>35</v>
      </c>
      <c r="O36" s="6" t="s">
        <v>243</v>
      </c>
      <c r="P36" s="7" t="s">
        <v>37</v>
      </c>
      <c r="Q36" s="7"/>
      <c r="R36" s="6" t="s">
        <v>39</v>
      </c>
      <c r="S36" s="8"/>
      <c r="T36" s="8" t="str">
        <f aca="false">IF(S36="","",S36+14)</f>
        <v/>
      </c>
      <c r="U36" s="8"/>
      <c r="V36" s="7"/>
      <c r="W36" s="7"/>
    </row>
    <row r="37" customFormat="false" ht="33.75" hidden="false" customHeight="true" outlineLevel="0" collapsed="false">
      <c r="A37" s="6" t="n">
        <v>2</v>
      </c>
      <c r="B37" s="6" t="s">
        <v>235</v>
      </c>
      <c r="C37" s="6" t="s">
        <v>24</v>
      </c>
      <c r="D37" s="7" t="s">
        <v>264</v>
      </c>
      <c r="E37" s="6" t="s">
        <v>265</v>
      </c>
      <c r="F37" s="6"/>
      <c r="G37" s="6" t="s">
        <v>28</v>
      </c>
      <c r="H37" s="6" t="s">
        <v>266</v>
      </c>
      <c r="I37" s="7" t="s">
        <v>267</v>
      </c>
      <c r="J37" s="7" t="s">
        <v>31</v>
      </c>
      <c r="K37" s="7" t="s">
        <v>268</v>
      </c>
      <c r="L37" s="6" t="s">
        <v>269</v>
      </c>
      <c r="M37" s="6" t="s">
        <v>34</v>
      </c>
      <c r="N37" s="4" t="s">
        <v>35</v>
      </c>
      <c r="O37" s="6" t="s">
        <v>243</v>
      </c>
      <c r="P37" s="7" t="s">
        <v>37</v>
      </c>
      <c r="Q37" s="7" t="s">
        <v>270</v>
      </c>
      <c r="R37" s="6" t="s">
        <v>39</v>
      </c>
      <c r="S37" s="8"/>
      <c r="T37" s="8" t="str">
        <f aca="false">IF(S37="","",S37+14)</f>
        <v/>
      </c>
      <c r="U37" s="8"/>
      <c r="V37" s="7"/>
      <c r="W37" s="7"/>
    </row>
    <row r="38" customFormat="false" ht="33.75" hidden="false" customHeight="true" outlineLevel="0" collapsed="false">
      <c r="A38" s="6" t="n">
        <v>2</v>
      </c>
      <c r="B38" s="6" t="s">
        <v>235</v>
      </c>
      <c r="C38" s="6" t="s">
        <v>24</v>
      </c>
      <c r="D38" s="7" t="s">
        <v>271</v>
      </c>
      <c r="E38" s="6" t="s">
        <v>272</v>
      </c>
      <c r="F38" s="6"/>
      <c r="G38" s="6" t="s">
        <v>28</v>
      </c>
      <c r="H38" s="6" t="s">
        <v>273</v>
      </c>
      <c r="I38" s="7" t="s">
        <v>274</v>
      </c>
      <c r="J38" s="7" t="s">
        <v>31</v>
      </c>
      <c r="K38" s="7" t="s">
        <v>275</v>
      </c>
      <c r="L38" s="6" t="s">
        <v>105</v>
      </c>
      <c r="M38" s="6" t="s">
        <v>34</v>
      </c>
      <c r="N38" s="4" t="s">
        <v>35</v>
      </c>
      <c r="O38" s="6" t="s">
        <v>243</v>
      </c>
      <c r="P38" s="7" t="s">
        <v>37</v>
      </c>
      <c r="Q38" s="7"/>
      <c r="R38" s="6" t="s">
        <v>39</v>
      </c>
      <c r="S38" s="8"/>
      <c r="T38" s="8" t="str">
        <f aca="false">IF(S38="","",S38+14)</f>
        <v/>
      </c>
      <c r="U38" s="8"/>
      <c r="V38" s="7"/>
      <c r="W38" s="7"/>
    </row>
    <row r="39" customFormat="false" ht="33.75" hidden="false" customHeight="true" outlineLevel="0" collapsed="false">
      <c r="A39" s="6" t="n">
        <v>2</v>
      </c>
      <c r="B39" s="6" t="s">
        <v>235</v>
      </c>
      <c r="C39" s="6" t="s">
        <v>24</v>
      </c>
      <c r="D39" s="7" t="s">
        <v>276</v>
      </c>
      <c r="E39" s="6" t="s">
        <v>277</v>
      </c>
      <c r="F39" s="6"/>
      <c r="G39" s="6" t="s">
        <v>28</v>
      </c>
      <c r="H39" s="6" t="s">
        <v>278</v>
      </c>
      <c r="I39" s="7" t="s">
        <v>279</v>
      </c>
      <c r="J39" s="7" t="s">
        <v>31</v>
      </c>
      <c r="K39" s="7" t="s">
        <v>280</v>
      </c>
      <c r="L39" s="6" t="s">
        <v>105</v>
      </c>
      <c r="M39" s="6" t="s">
        <v>34</v>
      </c>
      <c r="N39" s="4" t="s">
        <v>35</v>
      </c>
      <c r="O39" s="6" t="s">
        <v>243</v>
      </c>
      <c r="P39" s="7" t="s">
        <v>37</v>
      </c>
      <c r="Q39" s="7"/>
      <c r="R39" s="6" t="s">
        <v>39</v>
      </c>
      <c r="S39" s="8"/>
      <c r="T39" s="8" t="str">
        <f aca="false">IF(S39="","",S39+14)</f>
        <v/>
      </c>
      <c r="U39" s="8"/>
      <c r="V39" s="7"/>
      <c r="W39" s="7"/>
    </row>
    <row r="40" customFormat="false" ht="33.75" hidden="false" customHeight="true" outlineLevel="0" collapsed="false">
      <c r="A40" s="6" t="n">
        <v>2</v>
      </c>
      <c r="B40" s="6" t="s">
        <v>235</v>
      </c>
      <c r="C40" s="6" t="s">
        <v>24</v>
      </c>
      <c r="D40" s="7" t="s">
        <v>281</v>
      </c>
      <c r="E40" s="6" t="s">
        <v>282</v>
      </c>
      <c r="F40" s="6"/>
      <c r="G40" s="6" t="s">
        <v>28</v>
      </c>
      <c r="H40" s="6" t="s">
        <v>283</v>
      </c>
      <c r="I40" s="7" t="s">
        <v>284</v>
      </c>
      <c r="J40" s="7" t="s">
        <v>31</v>
      </c>
      <c r="K40" s="7" t="s">
        <v>285</v>
      </c>
      <c r="L40" s="6" t="s">
        <v>105</v>
      </c>
      <c r="M40" s="6" t="s">
        <v>34</v>
      </c>
      <c r="N40" s="4" t="s">
        <v>35</v>
      </c>
      <c r="O40" s="6" t="s">
        <v>243</v>
      </c>
      <c r="P40" s="7" t="s">
        <v>37</v>
      </c>
      <c r="Q40" s="7"/>
      <c r="R40" s="6" t="s">
        <v>39</v>
      </c>
      <c r="S40" s="8"/>
      <c r="T40" s="8" t="str">
        <f aca="false">IF(S40="","",S40+14)</f>
        <v/>
      </c>
      <c r="U40" s="8"/>
      <c r="V40" s="7"/>
      <c r="W40" s="7"/>
    </row>
    <row r="41" customFormat="false" ht="33.75" hidden="false" customHeight="true" outlineLevel="0" collapsed="false">
      <c r="A41" s="6" t="n">
        <v>2</v>
      </c>
      <c r="B41" s="6" t="s">
        <v>235</v>
      </c>
      <c r="C41" s="6" t="s">
        <v>24</v>
      </c>
      <c r="D41" s="7" t="s">
        <v>286</v>
      </c>
      <c r="E41" s="6" t="s">
        <v>287</v>
      </c>
      <c r="F41" s="6"/>
      <c r="G41" s="6" t="s">
        <v>28</v>
      </c>
      <c r="H41" s="6" t="s">
        <v>288</v>
      </c>
      <c r="I41" s="7" t="s">
        <v>289</v>
      </c>
      <c r="J41" s="7" t="s">
        <v>31</v>
      </c>
      <c r="K41" s="7" t="s">
        <v>290</v>
      </c>
      <c r="L41" s="6" t="s">
        <v>105</v>
      </c>
      <c r="M41" s="6" t="s">
        <v>34</v>
      </c>
      <c r="N41" s="4" t="s">
        <v>35</v>
      </c>
      <c r="O41" s="6" t="s">
        <v>243</v>
      </c>
      <c r="P41" s="7" t="s">
        <v>37</v>
      </c>
      <c r="Q41" s="7"/>
      <c r="R41" s="6" t="s">
        <v>39</v>
      </c>
      <c r="S41" s="8"/>
      <c r="T41" s="8" t="str">
        <f aca="false">IF(S41="","",S41+14)</f>
        <v/>
      </c>
      <c r="U41" s="8"/>
      <c r="V41" s="7"/>
      <c r="W41" s="7"/>
    </row>
    <row r="42" customFormat="false" ht="33.75" hidden="false" customHeight="true" outlineLevel="0" collapsed="false">
      <c r="A42" s="6" t="n">
        <v>2</v>
      </c>
      <c r="B42" s="6" t="s">
        <v>235</v>
      </c>
      <c r="C42" s="6" t="s">
        <v>24</v>
      </c>
      <c r="D42" s="7" t="s">
        <v>291</v>
      </c>
      <c r="E42" s="6" t="s">
        <v>292</v>
      </c>
      <c r="F42" s="6"/>
      <c r="G42" s="6" t="s">
        <v>28</v>
      </c>
      <c r="H42" s="6" t="s">
        <v>293</v>
      </c>
      <c r="I42" s="7" t="s">
        <v>294</v>
      </c>
      <c r="J42" s="7" t="s">
        <v>31</v>
      </c>
      <c r="K42" s="7" t="s">
        <v>45</v>
      </c>
      <c r="L42" s="6" t="s">
        <v>105</v>
      </c>
      <c r="M42" s="6" t="s">
        <v>34</v>
      </c>
      <c r="N42" s="4" t="s">
        <v>35</v>
      </c>
      <c r="O42" s="6" t="s">
        <v>243</v>
      </c>
      <c r="P42" s="7" t="s">
        <v>37</v>
      </c>
      <c r="Q42" s="7" t="s">
        <v>295</v>
      </c>
      <c r="R42" s="6" t="s">
        <v>39</v>
      </c>
      <c r="S42" s="8"/>
      <c r="T42" s="8" t="str">
        <f aca="false">IF(S42="","",S42+14)</f>
        <v/>
      </c>
      <c r="U42" s="8"/>
      <c r="V42" s="7"/>
      <c r="W42" s="7"/>
    </row>
    <row r="43" customFormat="false" ht="33.75" hidden="false" customHeight="true" outlineLevel="0" collapsed="false">
      <c r="A43" s="6" t="n">
        <v>2</v>
      </c>
      <c r="B43" s="6" t="s">
        <v>235</v>
      </c>
      <c r="C43" s="6" t="s">
        <v>24</v>
      </c>
      <c r="D43" s="7" t="s">
        <v>296</v>
      </c>
      <c r="E43" s="6" t="s">
        <v>297</v>
      </c>
      <c r="F43" s="6"/>
      <c r="G43" s="6" t="s">
        <v>28</v>
      </c>
      <c r="H43" s="6" t="s">
        <v>298</v>
      </c>
      <c r="I43" s="7" t="s">
        <v>299</v>
      </c>
      <c r="J43" s="9" t="s">
        <v>62</v>
      </c>
      <c r="K43" s="7" t="s">
        <v>300</v>
      </c>
      <c r="L43" s="6" t="s">
        <v>105</v>
      </c>
      <c r="M43" s="6" t="s">
        <v>34</v>
      </c>
      <c r="N43" s="4" t="s">
        <v>35</v>
      </c>
      <c r="O43" s="6" t="s">
        <v>243</v>
      </c>
      <c r="P43" s="7" t="s">
        <v>37</v>
      </c>
      <c r="Q43" s="7"/>
      <c r="R43" s="6" t="s">
        <v>39</v>
      </c>
      <c r="S43" s="8"/>
      <c r="T43" s="8" t="str">
        <f aca="false">IF(S43="","",S43+14)</f>
        <v/>
      </c>
      <c r="U43" s="8"/>
      <c r="V43" s="7"/>
      <c r="W43" s="7"/>
    </row>
    <row r="44" customFormat="false" ht="33.75" hidden="false" customHeight="true" outlineLevel="0" collapsed="false">
      <c r="A44" s="6" t="n">
        <v>2</v>
      </c>
      <c r="B44" s="6" t="s">
        <v>235</v>
      </c>
      <c r="C44" s="6" t="s">
        <v>24</v>
      </c>
      <c r="D44" s="7" t="s">
        <v>301</v>
      </c>
      <c r="E44" s="6" t="s">
        <v>302</v>
      </c>
      <c r="F44" s="6" t="s">
        <v>303</v>
      </c>
      <c r="G44" s="6" t="s">
        <v>28</v>
      </c>
      <c r="H44" s="6" t="s">
        <v>304</v>
      </c>
      <c r="I44" s="7" t="s">
        <v>305</v>
      </c>
      <c r="J44" s="9" t="s">
        <v>62</v>
      </c>
      <c r="K44" s="7" t="s">
        <v>306</v>
      </c>
      <c r="L44" s="6" t="s">
        <v>105</v>
      </c>
      <c r="M44" s="6" t="s">
        <v>34</v>
      </c>
      <c r="N44" s="4" t="s">
        <v>35</v>
      </c>
      <c r="O44" s="6" t="s">
        <v>243</v>
      </c>
      <c r="P44" s="7" t="s">
        <v>37</v>
      </c>
      <c r="Q44" s="7" t="s">
        <v>307</v>
      </c>
      <c r="R44" s="6" t="s">
        <v>39</v>
      </c>
      <c r="S44" s="8"/>
      <c r="T44" s="8" t="str">
        <f aca="false">IF(S44="","",S44+14)</f>
        <v/>
      </c>
      <c r="U44" s="8"/>
      <c r="V44" s="7"/>
      <c r="W44" s="7"/>
    </row>
    <row r="45" customFormat="false" ht="33.75" hidden="false" customHeight="true" outlineLevel="0" collapsed="false">
      <c r="A45" s="6" t="n">
        <v>2</v>
      </c>
      <c r="B45" s="6" t="s">
        <v>235</v>
      </c>
      <c r="C45" s="6" t="s">
        <v>24</v>
      </c>
      <c r="D45" s="7" t="s">
        <v>308</v>
      </c>
      <c r="E45" s="6" t="s">
        <v>309</v>
      </c>
      <c r="F45" s="6"/>
      <c r="G45" s="6" t="s">
        <v>70</v>
      </c>
      <c r="H45" s="6" t="s">
        <v>310</v>
      </c>
      <c r="I45" s="7" t="s">
        <v>311</v>
      </c>
      <c r="J45" s="7" t="s">
        <v>312</v>
      </c>
      <c r="K45" s="7" t="s">
        <v>313</v>
      </c>
      <c r="L45" s="6" t="s">
        <v>105</v>
      </c>
      <c r="M45" s="6" t="s">
        <v>34</v>
      </c>
      <c r="N45" s="4" t="s">
        <v>35</v>
      </c>
      <c r="O45" s="6" t="s">
        <v>243</v>
      </c>
      <c r="P45" s="7" t="s">
        <v>37</v>
      </c>
      <c r="Q45" s="7"/>
      <c r="R45" s="6" t="s">
        <v>39</v>
      </c>
      <c r="S45" s="8"/>
      <c r="T45" s="8" t="str">
        <f aca="false">IF(S45="","",S45+14)</f>
        <v/>
      </c>
      <c r="U45" s="8"/>
      <c r="V45" s="7"/>
      <c r="W45" s="7"/>
    </row>
    <row r="46" customFormat="false" ht="33.75" hidden="false" customHeight="true" outlineLevel="0" collapsed="false">
      <c r="A46" s="2" t="n">
        <v>1</v>
      </c>
      <c r="B46" s="2" t="s">
        <v>235</v>
      </c>
      <c r="C46" s="2" t="s">
        <v>79</v>
      </c>
      <c r="D46" s="3" t="s">
        <v>314</v>
      </c>
      <c r="E46" s="2" t="s">
        <v>315</v>
      </c>
      <c r="F46" s="2" t="s">
        <v>316</v>
      </c>
      <c r="G46" s="2" t="s">
        <v>28</v>
      </c>
      <c r="H46" s="2" t="s">
        <v>317</v>
      </c>
      <c r="I46" s="3" t="s">
        <v>318</v>
      </c>
      <c r="J46" s="3" t="s">
        <v>31</v>
      </c>
      <c r="K46" s="3" t="s">
        <v>319</v>
      </c>
      <c r="L46" s="2" t="s">
        <v>105</v>
      </c>
      <c r="M46" s="2" t="s">
        <v>87</v>
      </c>
      <c r="N46" s="2" t="s">
        <v>88</v>
      </c>
      <c r="O46" s="2" t="s">
        <v>320</v>
      </c>
      <c r="P46" s="3" t="s">
        <v>90</v>
      </c>
      <c r="Q46" s="3" t="s">
        <v>321</v>
      </c>
      <c r="R46" s="2" t="s">
        <v>39</v>
      </c>
      <c r="S46" s="5"/>
      <c r="T46" s="5" t="str">
        <f aca="false">IF(S46="","",S46+14)</f>
        <v/>
      </c>
      <c r="U46" s="5"/>
      <c r="V46" s="3"/>
      <c r="W46" s="3"/>
    </row>
    <row r="47" customFormat="false" ht="33.75" hidden="false" customHeight="true" outlineLevel="0" collapsed="false">
      <c r="A47" s="2" t="n">
        <v>1</v>
      </c>
      <c r="B47" s="2" t="s">
        <v>235</v>
      </c>
      <c r="C47" s="2" t="s">
        <v>79</v>
      </c>
      <c r="D47" s="3" t="s">
        <v>322</v>
      </c>
      <c r="E47" s="2" t="s">
        <v>323</v>
      </c>
      <c r="F47" s="2"/>
      <c r="G47" s="2" t="s">
        <v>28</v>
      </c>
      <c r="H47" s="2" t="s">
        <v>324</v>
      </c>
      <c r="I47" s="3" t="s">
        <v>325</v>
      </c>
      <c r="J47" s="3" t="s">
        <v>31</v>
      </c>
      <c r="K47" s="3" t="s">
        <v>326</v>
      </c>
      <c r="L47" s="2" t="s">
        <v>105</v>
      </c>
      <c r="M47" s="2" t="s">
        <v>87</v>
      </c>
      <c r="N47" s="2" t="s">
        <v>88</v>
      </c>
      <c r="O47" s="2" t="s">
        <v>320</v>
      </c>
      <c r="P47" s="3" t="s">
        <v>90</v>
      </c>
      <c r="Q47" s="3"/>
      <c r="R47" s="2" t="s">
        <v>39</v>
      </c>
      <c r="S47" s="5"/>
      <c r="T47" s="5" t="str">
        <f aca="false">IF(S47="","",S47+14)</f>
        <v/>
      </c>
      <c r="U47" s="5"/>
      <c r="V47" s="3"/>
      <c r="W47" s="3"/>
    </row>
    <row r="48" customFormat="false" ht="33.75" hidden="false" customHeight="true" outlineLevel="0" collapsed="false">
      <c r="A48" s="6" t="n">
        <v>2</v>
      </c>
      <c r="B48" s="6" t="s">
        <v>235</v>
      </c>
      <c r="C48" s="6" t="s">
        <v>79</v>
      </c>
      <c r="D48" s="7" t="s">
        <v>327</v>
      </c>
      <c r="E48" s="6" t="s">
        <v>328</v>
      </c>
      <c r="F48" s="6"/>
      <c r="G48" s="6" t="s">
        <v>28</v>
      </c>
      <c r="H48" s="6" t="s">
        <v>329</v>
      </c>
      <c r="I48" s="7" t="s">
        <v>330</v>
      </c>
      <c r="J48" s="7" t="s">
        <v>31</v>
      </c>
      <c r="K48" s="7" t="s">
        <v>331</v>
      </c>
      <c r="L48" s="6" t="s">
        <v>105</v>
      </c>
      <c r="M48" s="6" t="s">
        <v>87</v>
      </c>
      <c r="N48" s="6" t="s">
        <v>88</v>
      </c>
      <c r="O48" s="6" t="s">
        <v>320</v>
      </c>
      <c r="P48" s="7" t="s">
        <v>90</v>
      </c>
      <c r="Q48" s="7"/>
      <c r="R48" s="6" t="s">
        <v>39</v>
      </c>
      <c r="S48" s="8"/>
      <c r="T48" s="8" t="str">
        <f aca="false">IF(S48="","",S48+14)</f>
        <v/>
      </c>
      <c r="U48" s="8"/>
      <c r="V48" s="7"/>
      <c r="W48" s="7"/>
    </row>
    <row r="49" customFormat="false" ht="33.75" hidden="false" customHeight="true" outlineLevel="0" collapsed="false">
      <c r="A49" s="6" t="n">
        <v>2</v>
      </c>
      <c r="B49" s="6" t="s">
        <v>235</v>
      </c>
      <c r="C49" s="6" t="s">
        <v>79</v>
      </c>
      <c r="D49" s="7" t="s">
        <v>332</v>
      </c>
      <c r="E49" s="6" t="s">
        <v>333</v>
      </c>
      <c r="F49" s="6" t="s">
        <v>334</v>
      </c>
      <c r="G49" s="6" t="s">
        <v>28</v>
      </c>
      <c r="H49" s="6" t="s">
        <v>335</v>
      </c>
      <c r="I49" s="7" t="s">
        <v>336</v>
      </c>
      <c r="J49" s="7" t="s">
        <v>31</v>
      </c>
      <c r="K49" s="7" t="s">
        <v>337</v>
      </c>
      <c r="L49" s="6" t="s">
        <v>105</v>
      </c>
      <c r="M49" s="6" t="s">
        <v>87</v>
      </c>
      <c r="N49" s="6" t="s">
        <v>88</v>
      </c>
      <c r="O49" s="6" t="s">
        <v>320</v>
      </c>
      <c r="P49" s="7" t="s">
        <v>90</v>
      </c>
      <c r="Q49" s="7" t="s">
        <v>338</v>
      </c>
      <c r="R49" s="6" t="s">
        <v>39</v>
      </c>
      <c r="S49" s="8"/>
      <c r="T49" s="8" t="str">
        <f aca="false">IF(S49="","",S49+14)</f>
        <v/>
      </c>
      <c r="U49" s="8"/>
      <c r="V49" s="7"/>
      <c r="W49" s="7"/>
    </row>
    <row r="50" customFormat="false" ht="33.75" hidden="false" customHeight="true" outlineLevel="0" collapsed="false">
      <c r="A50" s="6" t="n">
        <v>2</v>
      </c>
      <c r="B50" s="6" t="s">
        <v>235</v>
      </c>
      <c r="C50" s="6" t="s">
        <v>79</v>
      </c>
      <c r="D50" s="7" t="s">
        <v>339</v>
      </c>
      <c r="E50" s="6" t="s">
        <v>340</v>
      </c>
      <c r="F50" s="6"/>
      <c r="G50" s="6" t="s">
        <v>28</v>
      </c>
      <c r="H50" s="6" t="s">
        <v>341</v>
      </c>
      <c r="I50" s="7" t="s">
        <v>342</v>
      </c>
      <c r="J50" s="7" t="s">
        <v>31</v>
      </c>
      <c r="K50" s="7" t="s">
        <v>343</v>
      </c>
      <c r="L50" s="6" t="s">
        <v>105</v>
      </c>
      <c r="M50" s="6" t="s">
        <v>87</v>
      </c>
      <c r="N50" s="6" t="s">
        <v>88</v>
      </c>
      <c r="O50" s="6" t="s">
        <v>320</v>
      </c>
      <c r="P50" s="7" t="s">
        <v>90</v>
      </c>
      <c r="Q50" s="7"/>
      <c r="R50" s="6" t="s">
        <v>39</v>
      </c>
      <c r="S50" s="8"/>
      <c r="T50" s="8" t="str">
        <f aca="false">IF(S50="","",S50+14)</f>
        <v/>
      </c>
      <c r="U50" s="8"/>
      <c r="V50" s="7"/>
      <c r="W50" s="7"/>
    </row>
    <row r="51" customFormat="false" ht="33.75" hidden="false" customHeight="true" outlineLevel="0" collapsed="false">
      <c r="A51" s="6" t="n">
        <v>2</v>
      </c>
      <c r="B51" s="6" t="s">
        <v>235</v>
      </c>
      <c r="C51" s="6" t="s">
        <v>79</v>
      </c>
      <c r="D51" s="7" t="s">
        <v>344</v>
      </c>
      <c r="E51" s="6" t="s">
        <v>345</v>
      </c>
      <c r="F51" s="6"/>
      <c r="G51" s="6" t="s">
        <v>28</v>
      </c>
      <c r="H51" s="6" t="s">
        <v>346</v>
      </c>
      <c r="I51" s="7" t="s">
        <v>347</v>
      </c>
      <c r="J51" s="7" t="s">
        <v>31</v>
      </c>
      <c r="K51" s="7" t="s">
        <v>348</v>
      </c>
      <c r="L51" s="6" t="s">
        <v>105</v>
      </c>
      <c r="M51" s="6" t="s">
        <v>87</v>
      </c>
      <c r="N51" s="6" t="s">
        <v>88</v>
      </c>
      <c r="O51" s="6" t="s">
        <v>320</v>
      </c>
      <c r="P51" s="7" t="s">
        <v>90</v>
      </c>
      <c r="Q51" s="7"/>
      <c r="R51" s="6" t="s">
        <v>39</v>
      </c>
      <c r="S51" s="8"/>
      <c r="T51" s="8" t="str">
        <f aca="false">IF(S51="","",S51+14)</f>
        <v/>
      </c>
      <c r="U51" s="8"/>
      <c r="V51" s="7"/>
      <c r="W51" s="7"/>
    </row>
    <row r="52" customFormat="false" ht="33.75" hidden="false" customHeight="true" outlineLevel="0" collapsed="false">
      <c r="A52" s="6" t="n">
        <v>2</v>
      </c>
      <c r="B52" s="6" t="s">
        <v>235</v>
      </c>
      <c r="C52" s="6" t="s">
        <v>79</v>
      </c>
      <c r="D52" s="7" t="s">
        <v>349</v>
      </c>
      <c r="E52" s="6" t="s">
        <v>350</v>
      </c>
      <c r="F52" s="6"/>
      <c r="G52" s="6" t="s">
        <v>28</v>
      </c>
      <c r="H52" s="6" t="s">
        <v>351</v>
      </c>
      <c r="I52" s="7" t="s">
        <v>352</v>
      </c>
      <c r="J52" s="7" t="s">
        <v>31</v>
      </c>
      <c r="K52" s="7" t="s">
        <v>353</v>
      </c>
      <c r="L52" s="6" t="s">
        <v>105</v>
      </c>
      <c r="M52" s="6" t="s">
        <v>87</v>
      </c>
      <c r="N52" s="6" t="s">
        <v>88</v>
      </c>
      <c r="O52" s="6" t="s">
        <v>320</v>
      </c>
      <c r="P52" s="7" t="s">
        <v>90</v>
      </c>
      <c r="Q52" s="7"/>
      <c r="R52" s="6" t="s">
        <v>39</v>
      </c>
      <c r="S52" s="8"/>
      <c r="T52" s="8" t="str">
        <f aca="false">IF(S52="","",S52+14)</f>
        <v/>
      </c>
      <c r="U52" s="8"/>
      <c r="V52" s="7"/>
      <c r="W52" s="7"/>
    </row>
    <row r="53" customFormat="false" ht="33.75" hidden="false" customHeight="true" outlineLevel="0" collapsed="false">
      <c r="A53" s="6" t="n">
        <v>2</v>
      </c>
      <c r="B53" s="6" t="s">
        <v>235</v>
      </c>
      <c r="C53" s="6" t="s">
        <v>79</v>
      </c>
      <c r="D53" s="7" t="s">
        <v>354</v>
      </c>
      <c r="E53" s="6" t="s">
        <v>355</v>
      </c>
      <c r="F53" s="6"/>
      <c r="G53" s="6" t="s">
        <v>28</v>
      </c>
      <c r="H53" s="6" t="s">
        <v>356</v>
      </c>
      <c r="I53" s="7" t="s">
        <v>357</v>
      </c>
      <c r="J53" s="7" t="s">
        <v>31</v>
      </c>
      <c r="K53" s="7" t="s">
        <v>358</v>
      </c>
      <c r="L53" s="6" t="s">
        <v>105</v>
      </c>
      <c r="M53" s="6" t="s">
        <v>87</v>
      </c>
      <c r="N53" s="6" t="s">
        <v>88</v>
      </c>
      <c r="O53" s="6" t="s">
        <v>320</v>
      </c>
      <c r="P53" s="7" t="s">
        <v>90</v>
      </c>
      <c r="Q53" s="7"/>
      <c r="R53" s="6" t="s">
        <v>39</v>
      </c>
      <c r="S53" s="8"/>
      <c r="T53" s="8" t="str">
        <f aca="false">IF(S53="","",S53+14)</f>
        <v/>
      </c>
      <c r="U53" s="8"/>
      <c r="V53" s="7"/>
      <c r="W53" s="7"/>
    </row>
    <row r="54" customFormat="false" ht="33.75" hidden="false" customHeight="true" outlineLevel="0" collapsed="false">
      <c r="A54" s="6" t="n">
        <v>2</v>
      </c>
      <c r="B54" s="6" t="s">
        <v>235</v>
      </c>
      <c r="C54" s="6" t="s">
        <v>79</v>
      </c>
      <c r="D54" s="7" t="s">
        <v>359</v>
      </c>
      <c r="E54" s="6" t="s">
        <v>360</v>
      </c>
      <c r="F54" s="6"/>
      <c r="G54" s="6" t="s">
        <v>28</v>
      </c>
      <c r="H54" s="6" t="s">
        <v>361</v>
      </c>
      <c r="I54" s="7" t="s">
        <v>362</v>
      </c>
      <c r="J54" s="7" t="s">
        <v>31</v>
      </c>
      <c r="K54" s="7" t="s">
        <v>363</v>
      </c>
      <c r="L54" s="6" t="s">
        <v>105</v>
      </c>
      <c r="M54" s="6" t="s">
        <v>87</v>
      </c>
      <c r="N54" s="6" t="s">
        <v>88</v>
      </c>
      <c r="O54" s="6" t="s">
        <v>320</v>
      </c>
      <c r="P54" s="7" t="s">
        <v>90</v>
      </c>
      <c r="Q54" s="7"/>
      <c r="R54" s="6" t="s">
        <v>39</v>
      </c>
      <c r="S54" s="8"/>
      <c r="T54" s="8" t="str">
        <f aca="false">IF(S54="","",S54+14)</f>
        <v/>
      </c>
      <c r="U54" s="8"/>
      <c r="V54" s="7"/>
      <c r="W54" s="7"/>
    </row>
    <row r="55" customFormat="false" ht="33.75" hidden="false" customHeight="true" outlineLevel="0" collapsed="false">
      <c r="A55" s="6" t="n">
        <v>2</v>
      </c>
      <c r="B55" s="6" t="s">
        <v>235</v>
      </c>
      <c r="C55" s="6" t="s">
        <v>79</v>
      </c>
      <c r="D55" s="7" t="s">
        <v>364</v>
      </c>
      <c r="E55" s="6" t="s">
        <v>365</v>
      </c>
      <c r="F55" s="6" t="s">
        <v>366</v>
      </c>
      <c r="G55" s="6" t="s">
        <v>28</v>
      </c>
      <c r="H55" s="6" t="s">
        <v>367</v>
      </c>
      <c r="I55" s="7" t="s">
        <v>368</v>
      </c>
      <c r="J55" s="7" t="s">
        <v>31</v>
      </c>
      <c r="K55" s="7" t="s">
        <v>369</v>
      </c>
      <c r="L55" s="6" t="s">
        <v>370</v>
      </c>
      <c r="M55" s="6" t="s">
        <v>87</v>
      </c>
      <c r="N55" s="6" t="s">
        <v>88</v>
      </c>
      <c r="O55" s="6" t="s">
        <v>320</v>
      </c>
      <c r="P55" s="7" t="s">
        <v>90</v>
      </c>
      <c r="Q55" s="7" t="s">
        <v>371</v>
      </c>
      <c r="R55" s="6" t="s">
        <v>39</v>
      </c>
      <c r="S55" s="8"/>
      <c r="T55" s="8" t="str">
        <f aca="false">IF(S55="","",S55+14)</f>
        <v/>
      </c>
      <c r="U55" s="8"/>
      <c r="V55" s="7"/>
      <c r="W55" s="7"/>
    </row>
    <row r="56" customFormat="false" ht="33.75" hidden="false" customHeight="true" outlineLevel="0" collapsed="false">
      <c r="A56" s="6" t="n">
        <v>2</v>
      </c>
      <c r="B56" s="6" t="s">
        <v>235</v>
      </c>
      <c r="C56" s="6" t="s">
        <v>79</v>
      </c>
      <c r="D56" s="7" t="s">
        <v>372</v>
      </c>
      <c r="E56" s="6" t="s">
        <v>373</v>
      </c>
      <c r="F56" s="6"/>
      <c r="G56" s="6" t="s">
        <v>70</v>
      </c>
      <c r="H56" s="6" t="s">
        <v>374</v>
      </c>
      <c r="I56" s="7" t="s">
        <v>375</v>
      </c>
      <c r="J56" s="7" t="s">
        <v>31</v>
      </c>
      <c r="K56" s="7" t="s">
        <v>376</v>
      </c>
      <c r="L56" s="6" t="s">
        <v>105</v>
      </c>
      <c r="M56" s="6" t="s">
        <v>87</v>
      </c>
      <c r="N56" s="6" t="s">
        <v>88</v>
      </c>
      <c r="O56" s="6" t="s">
        <v>320</v>
      </c>
      <c r="P56" s="7" t="s">
        <v>90</v>
      </c>
      <c r="Q56" s="7" t="s">
        <v>377</v>
      </c>
      <c r="R56" s="6" t="s">
        <v>39</v>
      </c>
      <c r="S56" s="8"/>
      <c r="T56" s="8" t="str">
        <f aca="false">IF(S56="","",S56+14)</f>
        <v/>
      </c>
      <c r="U56" s="8"/>
      <c r="V56" s="7"/>
      <c r="W56" s="7"/>
    </row>
    <row r="57" customFormat="false" ht="33.75" hidden="false" customHeight="true" outlineLevel="0" collapsed="false">
      <c r="A57" s="6" t="n">
        <v>2</v>
      </c>
      <c r="B57" s="6" t="s">
        <v>235</v>
      </c>
      <c r="C57" s="6" t="s">
        <v>79</v>
      </c>
      <c r="D57" s="7" t="s">
        <v>378</v>
      </c>
      <c r="E57" s="6" t="s">
        <v>379</v>
      </c>
      <c r="F57" s="6"/>
      <c r="G57" s="6" t="s">
        <v>70</v>
      </c>
      <c r="H57" s="6" t="s">
        <v>380</v>
      </c>
      <c r="I57" s="7" t="s">
        <v>381</v>
      </c>
      <c r="J57" s="7" t="s">
        <v>31</v>
      </c>
      <c r="K57" s="7" t="s">
        <v>382</v>
      </c>
      <c r="L57" s="6" t="s">
        <v>105</v>
      </c>
      <c r="M57" s="6" t="s">
        <v>87</v>
      </c>
      <c r="N57" s="6" t="s">
        <v>88</v>
      </c>
      <c r="O57" s="6" t="s">
        <v>320</v>
      </c>
      <c r="P57" s="7" t="s">
        <v>90</v>
      </c>
      <c r="Q57" s="7"/>
      <c r="R57" s="6" t="s">
        <v>39</v>
      </c>
      <c r="S57" s="8"/>
      <c r="T57" s="8" t="str">
        <f aca="false">IF(S57="","",S57+14)</f>
        <v/>
      </c>
      <c r="U57" s="8"/>
      <c r="V57" s="7"/>
      <c r="W57" s="7"/>
    </row>
    <row r="58" customFormat="false" ht="33.75" hidden="false" customHeight="true" outlineLevel="0" collapsed="false">
      <c r="A58" s="6" t="n">
        <v>2</v>
      </c>
      <c r="B58" s="6" t="s">
        <v>235</v>
      </c>
      <c r="C58" s="6" t="s">
        <v>79</v>
      </c>
      <c r="D58" s="7" t="s">
        <v>383</v>
      </c>
      <c r="E58" s="6" t="s">
        <v>384</v>
      </c>
      <c r="F58" s="6"/>
      <c r="G58" s="6" t="s">
        <v>70</v>
      </c>
      <c r="H58" s="6" t="s">
        <v>385</v>
      </c>
      <c r="I58" s="7" t="s">
        <v>386</v>
      </c>
      <c r="J58" s="7" t="s">
        <v>31</v>
      </c>
      <c r="K58" s="7" t="s">
        <v>387</v>
      </c>
      <c r="L58" s="6" t="s">
        <v>105</v>
      </c>
      <c r="M58" s="6" t="s">
        <v>87</v>
      </c>
      <c r="N58" s="6" t="s">
        <v>88</v>
      </c>
      <c r="O58" s="6" t="s">
        <v>320</v>
      </c>
      <c r="P58" s="7" t="s">
        <v>90</v>
      </c>
      <c r="Q58" s="7"/>
      <c r="R58" s="6" t="s">
        <v>39</v>
      </c>
      <c r="S58" s="8"/>
      <c r="T58" s="8" t="str">
        <f aca="false">IF(S58="","",S58+14)</f>
        <v/>
      </c>
      <c r="U58" s="8"/>
      <c r="V58" s="7"/>
      <c r="W58" s="7"/>
    </row>
    <row r="59" customFormat="false" ht="33.75" hidden="false" customHeight="true" outlineLevel="0" collapsed="false">
      <c r="A59" s="6" t="n">
        <v>2</v>
      </c>
      <c r="B59" s="6" t="s">
        <v>235</v>
      </c>
      <c r="C59" s="6" t="s">
        <v>79</v>
      </c>
      <c r="D59" s="7" t="s">
        <v>388</v>
      </c>
      <c r="E59" s="6" t="s">
        <v>389</v>
      </c>
      <c r="F59" s="6"/>
      <c r="G59" s="6" t="s">
        <v>221</v>
      </c>
      <c r="H59" s="6"/>
      <c r="I59" s="7" t="s">
        <v>390</v>
      </c>
      <c r="J59" s="7" t="s">
        <v>31</v>
      </c>
      <c r="K59" s="7" t="s">
        <v>391</v>
      </c>
      <c r="L59" s="6" t="s">
        <v>105</v>
      </c>
      <c r="M59" s="6" t="s">
        <v>87</v>
      </c>
      <c r="N59" s="6" t="s">
        <v>88</v>
      </c>
      <c r="O59" s="6" t="s">
        <v>320</v>
      </c>
      <c r="P59" s="7" t="s">
        <v>90</v>
      </c>
      <c r="Q59" s="7" t="s">
        <v>392</v>
      </c>
      <c r="R59" s="6" t="s">
        <v>39</v>
      </c>
      <c r="S59" s="8"/>
      <c r="T59" s="8" t="str">
        <f aca="false">IF(S59="","",S59+14)</f>
        <v/>
      </c>
      <c r="U59" s="8"/>
      <c r="V59" s="7"/>
      <c r="W59" s="7"/>
    </row>
    <row r="60" customFormat="false" ht="33.75" hidden="false" customHeight="true" outlineLevel="0" collapsed="false">
      <c r="A60" s="6" t="n">
        <v>2</v>
      </c>
      <c r="B60" s="6" t="s">
        <v>235</v>
      </c>
      <c r="C60" s="6" t="s">
        <v>79</v>
      </c>
      <c r="D60" s="7" t="s">
        <v>393</v>
      </c>
      <c r="E60" s="6" t="s">
        <v>394</v>
      </c>
      <c r="F60" s="6"/>
      <c r="G60" s="6" t="s">
        <v>221</v>
      </c>
      <c r="H60" s="6"/>
      <c r="I60" s="7" t="s">
        <v>395</v>
      </c>
      <c r="J60" s="7" t="s">
        <v>312</v>
      </c>
      <c r="K60" s="7" t="s">
        <v>396</v>
      </c>
      <c r="L60" s="6" t="s">
        <v>105</v>
      </c>
      <c r="M60" s="6" t="s">
        <v>87</v>
      </c>
      <c r="N60" s="6" t="s">
        <v>88</v>
      </c>
      <c r="O60" s="6" t="s">
        <v>320</v>
      </c>
      <c r="P60" s="7" t="s">
        <v>90</v>
      </c>
      <c r="Q60" s="7" t="s">
        <v>397</v>
      </c>
      <c r="R60" s="6" t="s">
        <v>39</v>
      </c>
      <c r="S60" s="8"/>
      <c r="T60" s="8" t="str">
        <f aca="false">IF(S60="","",S60+14)</f>
        <v/>
      </c>
      <c r="U60" s="8"/>
      <c r="V60" s="7"/>
      <c r="W60" s="7"/>
    </row>
    <row r="61" customFormat="false" ht="33.75" hidden="false" customHeight="true" outlineLevel="0" collapsed="false">
      <c r="A61" s="2" t="n">
        <v>1</v>
      </c>
      <c r="B61" s="2" t="s">
        <v>398</v>
      </c>
      <c r="C61" s="2" t="s">
        <v>24</v>
      </c>
      <c r="D61" s="3" t="s">
        <v>399</v>
      </c>
      <c r="E61" s="2" t="s">
        <v>400</v>
      </c>
      <c r="F61" s="2" t="s">
        <v>401</v>
      </c>
      <c r="G61" s="2" t="s">
        <v>28</v>
      </c>
      <c r="H61" s="2" t="s">
        <v>402</v>
      </c>
      <c r="I61" s="3" t="s">
        <v>403</v>
      </c>
      <c r="J61" s="9" t="s">
        <v>62</v>
      </c>
      <c r="K61" s="3" t="s">
        <v>404</v>
      </c>
      <c r="L61" s="2" t="s">
        <v>405</v>
      </c>
      <c r="M61" s="2" t="s">
        <v>34</v>
      </c>
      <c r="N61" s="4" t="s">
        <v>35</v>
      </c>
      <c r="O61" s="2" t="s">
        <v>406</v>
      </c>
      <c r="P61" s="3" t="s">
        <v>37</v>
      </c>
      <c r="Q61" s="3" t="s">
        <v>407</v>
      </c>
      <c r="R61" s="2" t="s">
        <v>39</v>
      </c>
      <c r="S61" s="5"/>
      <c r="T61" s="5" t="str">
        <f aca="false">IF(S61="","",S61+14)</f>
        <v/>
      </c>
      <c r="U61" s="5"/>
      <c r="V61" s="3"/>
      <c r="W61" s="3"/>
    </row>
    <row r="62" customFormat="false" ht="33.75" hidden="false" customHeight="true" outlineLevel="0" collapsed="false">
      <c r="A62" s="6" t="n">
        <v>2</v>
      </c>
      <c r="B62" s="6" t="s">
        <v>398</v>
      </c>
      <c r="C62" s="6" t="s">
        <v>24</v>
      </c>
      <c r="D62" s="7" t="s">
        <v>408</v>
      </c>
      <c r="E62" s="6" t="s">
        <v>409</v>
      </c>
      <c r="F62" s="6" t="s">
        <v>410</v>
      </c>
      <c r="G62" s="6" t="s">
        <v>28</v>
      </c>
      <c r="H62" s="6" t="s">
        <v>411</v>
      </c>
      <c r="I62" s="7" t="s">
        <v>412</v>
      </c>
      <c r="J62" s="9" t="s">
        <v>62</v>
      </c>
      <c r="K62" s="7" t="s">
        <v>413</v>
      </c>
      <c r="L62" s="6" t="s">
        <v>414</v>
      </c>
      <c r="M62" s="6" t="s">
        <v>34</v>
      </c>
      <c r="N62" s="4" t="s">
        <v>35</v>
      </c>
      <c r="O62" s="6" t="s">
        <v>406</v>
      </c>
      <c r="P62" s="7" t="s">
        <v>37</v>
      </c>
      <c r="Q62" s="7" t="s">
        <v>415</v>
      </c>
      <c r="R62" s="6" t="s">
        <v>39</v>
      </c>
      <c r="S62" s="8"/>
      <c r="T62" s="8" t="str">
        <f aca="false">IF(S62="","",S62+14)</f>
        <v/>
      </c>
      <c r="U62" s="8"/>
      <c r="V62" s="7"/>
      <c r="W62" s="7"/>
    </row>
    <row r="63" customFormat="false" ht="33.75" hidden="false" customHeight="true" outlineLevel="0" collapsed="false">
      <c r="A63" s="6" t="n">
        <v>2</v>
      </c>
      <c r="B63" s="6" t="s">
        <v>398</v>
      </c>
      <c r="C63" s="6" t="s">
        <v>24</v>
      </c>
      <c r="D63" s="7" t="s">
        <v>416</v>
      </c>
      <c r="E63" s="6" t="s">
        <v>417</v>
      </c>
      <c r="F63" s="6" t="s">
        <v>418</v>
      </c>
      <c r="G63" s="6" t="s">
        <v>70</v>
      </c>
      <c r="H63" s="6" t="s">
        <v>419</v>
      </c>
      <c r="I63" s="7" t="s">
        <v>420</v>
      </c>
      <c r="J63" s="7" t="s">
        <v>421</v>
      </c>
      <c r="K63" s="7" t="s">
        <v>422</v>
      </c>
      <c r="L63" s="6" t="s">
        <v>105</v>
      </c>
      <c r="M63" s="6" t="s">
        <v>34</v>
      </c>
      <c r="N63" s="4" t="s">
        <v>35</v>
      </c>
      <c r="O63" s="6" t="s">
        <v>406</v>
      </c>
      <c r="P63" s="7" t="s">
        <v>37</v>
      </c>
      <c r="Q63" s="7" t="s">
        <v>423</v>
      </c>
      <c r="R63" s="6" t="s">
        <v>39</v>
      </c>
      <c r="S63" s="8"/>
      <c r="T63" s="8" t="str">
        <f aca="false">IF(S63="","",S63+14)</f>
        <v/>
      </c>
      <c r="U63" s="8"/>
      <c r="V63" s="7"/>
      <c r="W63" s="7"/>
    </row>
    <row r="64" customFormat="false" ht="33.75" hidden="false" customHeight="true" outlineLevel="0" collapsed="false">
      <c r="A64" s="6" t="n">
        <v>2</v>
      </c>
      <c r="B64" s="6" t="s">
        <v>398</v>
      </c>
      <c r="C64" s="6" t="s">
        <v>24</v>
      </c>
      <c r="D64" s="7" t="s">
        <v>424</v>
      </c>
      <c r="E64" s="6" t="s">
        <v>425</v>
      </c>
      <c r="F64" s="6" t="s">
        <v>426</v>
      </c>
      <c r="G64" s="6" t="s">
        <v>70</v>
      </c>
      <c r="H64" s="6" t="s">
        <v>427</v>
      </c>
      <c r="I64" s="7" t="s">
        <v>428</v>
      </c>
      <c r="J64" s="9" t="s">
        <v>62</v>
      </c>
      <c r="K64" s="7" t="s">
        <v>45</v>
      </c>
      <c r="L64" s="6" t="s">
        <v>429</v>
      </c>
      <c r="M64" s="6" t="s">
        <v>34</v>
      </c>
      <c r="N64" s="4" t="s">
        <v>35</v>
      </c>
      <c r="O64" s="6" t="s">
        <v>406</v>
      </c>
      <c r="P64" s="7" t="s">
        <v>37</v>
      </c>
      <c r="Q64" s="7" t="s">
        <v>430</v>
      </c>
      <c r="R64" s="6" t="s">
        <v>39</v>
      </c>
      <c r="S64" s="8"/>
      <c r="T64" s="8" t="str">
        <f aca="false">IF(S64="","",S64+14)</f>
        <v/>
      </c>
      <c r="U64" s="8"/>
      <c r="V64" s="7"/>
      <c r="W64" s="7"/>
    </row>
    <row r="65" customFormat="false" ht="33.75" hidden="false" customHeight="true" outlineLevel="0" collapsed="false">
      <c r="A65" s="2" t="n">
        <v>1</v>
      </c>
      <c r="B65" s="2" t="s">
        <v>398</v>
      </c>
      <c r="C65" s="2" t="s">
        <v>79</v>
      </c>
      <c r="D65" s="3" t="s">
        <v>431</v>
      </c>
      <c r="E65" s="2" t="s">
        <v>432</v>
      </c>
      <c r="F65" s="2" t="s">
        <v>433</v>
      </c>
      <c r="G65" s="2" t="s">
        <v>28</v>
      </c>
      <c r="H65" s="2" t="s">
        <v>434</v>
      </c>
      <c r="I65" s="3" t="s">
        <v>435</v>
      </c>
      <c r="J65" s="3" t="s">
        <v>436</v>
      </c>
      <c r="K65" s="3" t="s">
        <v>118</v>
      </c>
      <c r="L65" s="2" t="s">
        <v>437</v>
      </c>
      <c r="M65" s="2" t="s">
        <v>87</v>
      </c>
      <c r="N65" s="2" t="s">
        <v>88</v>
      </c>
      <c r="O65" s="2" t="s">
        <v>438</v>
      </c>
      <c r="P65" s="3" t="s">
        <v>90</v>
      </c>
      <c r="Q65" s="3"/>
      <c r="R65" s="2" t="s">
        <v>39</v>
      </c>
      <c r="S65" s="5"/>
      <c r="T65" s="5" t="str">
        <f aca="false">IF(S65="","",S65+14)</f>
        <v/>
      </c>
      <c r="U65" s="5"/>
      <c r="V65" s="3"/>
      <c r="W65" s="3"/>
    </row>
    <row r="66" customFormat="false" ht="33.75" hidden="false" customHeight="true" outlineLevel="0" collapsed="false">
      <c r="A66" s="2" t="n">
        <v>1</v>
      </c>
      <c r="B66" s="2" t="s">
        <v>398</v>
      </c>
      <c r="C66" s="2" t="s">
        <v>79</v>
      </c>
      <c r="D66" s="3" t="s">
        <v>439</v>
      </c>
      <c r="E66" s="2" t="s">
        <v>440</v>
      </c>
      <c r="F66" s="2" t="s">
        <v>441</v>
      </c>
      <c r="G66" s="2" t="s">
        <v>28</v>
      </c>
      <c r="H66" s="2" t="s">
        <v>442</v>
      </c>
      <c r="I66" s="3" t="s">
        <v>443</v>
      </c>
      <c r="J66" s="3" t="s">
        <v>31</v>
      </c>
      <c r="K66" s="3" t="s">
        <v>118</v>
      </c>
      <c r="L66" s="2" t="s">
        <v>105</v>
      </c>
      <c r="M66" s="2" t="s">
        <v>87</v>
      </c>
      <c r="N66" s="2" t="s">
        <v>88</v>
      </c>
      <c r="O66" s="2" t="s">
        <v>438</v>
      </c>
      <c r="P66" s="3" t="s">
        <v>90</v>
      </c>
      <c r="Q66" s="3"/>
      <c r="R66" s="2" t="s">
        <v>39</v>
      </c>
      <c r="S66" s="5"/>
      <c r="T66" s="5" t="str">
        <f aca="false">IF(S66="","",S66+14)</f>
        <v/>
      </c>
      <c r="U66" s="5"/>
      <c r="V66" s="3"/>
      <c r="W66" s="3"/>
    </row>
    <row r="67" customFormat="false" ht="33.75" hidden="false" customHeight="true" outlineLevel="0" collapsed="false">
      <c r="A67" s="6" t="n">
        <v>2</v>
      </c>
      <c r="B67" s="6" t="s">
        <v>398</v>
      </c>
      <c r="C67" s="6" t="s">
        <v>79</v>
      </c>
      <c r="D67" s="7" t="s">
        <v>444</v>
      </c>
      <c r="E67" s="6" t="s">
        <v>445</v>
      </c>
      <c r="F67" s="6" t="s">
        <v>446</v>
      </c>
      <c r="G67" s="6" t="s">
        <v>28</v>
      </c>
      <c r="H67" s="6" t="s">
        <v>447</v>
      </c>
      <c r="I67" s="7" t="s">
        <v>448</v>
      </c>
      <c r="J67" s="7" t="s">
        <v>31</v>
      </c>
      <c r="K67" s="7" t="s">
        <v>449</v>
      </c>
      <c r="L67" s="6" t="s">
        <v>105</v>
      </c>
      <c r="M67" s="6" t="s">
        <v>87</v>
      </c>
      <c r="N67" s="6" t="s">
        <v>88</v>
      </c>
      <c r="O67" s="6" t="s">
        <v>438</v>
      </c>
      <c r="P67" s="7" t="s">
        <v>90</v>
      </c>
      <c r="Q67" s="7" t="s">
        <v>450</v>
      </c>
      <c r="R67" s="6" t="s">
        <v>39</v>
      </c>
      <c r="S67" s="8"/>
      <c r="T67" s="8" t="str">
        <f aca="false">IF(S67="","",S67+14)</f>
        <v/>
      </c>
      <c r="U67" s="8"/>
      <c r="V67" s="7"/>
      <c r="W67" s="7"/>
    </row>
    <row r="68" customFormat="false" ht="33.75" hidden="false" customHeight="true" outlineLevel="0" collapsed="false">
      <c r="A68" s="6" t="n">
        <v>2</v>
      </c>
      <c r="B68" s="6" t="s">
        <v>398</v>
      </c>
      <c r="C68" s="6" t="s">
        <v>79</v>
      </c>
      <c r="D68" s="7" t="s">
        <v>451</v>
      </c>
      <c r="E68" s="6" t="s">
        <v>452</v>
      </c>
      <c r="F68" s="6" t="s">
        <v>453</v>
      </c>
      <c r="G68" s="6" t="s">
        <v>28</v>
      </c>
      <c r="H68" s="6" t="s">
        <v>454</v>
      </c>
      <c r="I68" s="7" t="s">
        <v>455</v>
      </c>
      <c r="J68" s="7" t="s">
        <v>31</v>
      </c>
      <c r="K68" s="7" t="s">
        <v>118</v>
      </c>
      <c r="L68" s="6" t="s">
        <v>105</v>
      </c>
      <c r="M68" s="6" t="s">
        <v>87</v>
      </c>
      <c r="N68" s="6" t="s">
        <v>88</v>
      </c>
      <c r="O68" s="6" t="s">
        <v>438</v>
      </c>
      <c r="P68" s="7" t="s">
        <v>90</v>
      </c>
      <c r="Q68" s="7"/>
      <c r="R68" s="6" t="s">
        <v>39</v>
      </c>
      <c r="S68" s="8"/>
      <c r="T68" s="8" t="str">
        <f aca="false">IF(S68="","",S68+14)</f>
        <v/>
      </c>
      <c r="U68" s="8"/>
      <c r="V68" s="7"/>
      <c r="W68" s="7"/>
    </row>
    <row r="69" customFormat="false" ht="33.75" hidden="false" customHeight="true" outlineLevel="0" collapsed="false">
      <c r="A69" s="6" t="n">
        <v>2</v>
      </c>
      <c r="B69" s="6" t="s">
        <v>398</v>
      </c>
      <c r="C69" s="6" t="s">
        <v>79</v>
      </c>
      <c r="D69" s="7" t="s">
        <v>456</v>
      </c>
      <c r="E69" s="6" t="s">
        <v>457</v>
      </c>
      <c r="F69" s="6" t="s">
        <v>458</v>
      </c>
      <c r="G69" s="6" t="s">
        <v>28</v>
      </c>
      <c r="H69" s="6" t="s">
        <v>459</v>
      </c>
      <c r="I69" s="7" t="s">
        <v>460</v>
      </c>
      <c r="J69" s="7" t="s">
        <v>31</v>
      </c>
      <c r="K69" s="7" t="s">
        <v>118</v>
      </c>
      <c r="L69" s="6" t="s">
        <v>461</v>
      </c>
      <c r="M69" s="6" t="s">
        <v>87</v>
      </c>
      <c r="N69" s="6" t="s">
        <v>88</v>
      </c>
      <c r="O69" s="6" t="s">
        <v>438</v>
      </c>
      <c r="P69" s="7" t="s">
        <v>90</v>
      </c>
      <c r="Q69" s="7"/>
      <c r="R69" s="6" t="s">
        <v>39</v>
      </c>
      <c r="S69" s="8"/>
      <c r="T69" s="8" t="str">
        <f aca="false">IF(S69="","",S69+14)</f>
        <v/>
      </c>
      <c r="U69" s="8"/>
      <c r="V69" s="7"/>
      <c r="W69" s="7"/>
    </row>
    <row r="70" customFormat="false" ht="33.75" hidden="false" customHeight="true" outlineLevel="0" collapsed="false">
      <c r="A70" s="6" t="n">
        <v>2</v>
      </c>
      <c r="B70" s="6" t="s">
        <v>398</v>
      </c>
      <c r="C70" s="6" t="s">
        <v>79</v>
      </c>
      <c r="D70" s="7" t="s">
        <v>462</v>
      </c>
      <c r="E70" s="6" t="s">
        <v>463</v>
      </c>
      <c r="F70" s="6" t="s">
        <v>464</v>
      </c>
      <c r="G70" s="6" t="s">
        <v>28</v>
      </c>
      <c r="H70" s="6" t="s">
        <v>465</v>
      </c>
      <c r="I70" s="7" t="s">
        <v>466</v>
      </c>
      <c r="J70" s="7" t="s">
        <v>31</v>
      </c>
      <c r="K70" s="7" t="s">
        <v>118</v>
      </c>
      <c r="L70" s="6" t="s">
        <v>105</v>
      </c>
      <c r="M70" s="6" t="s">
        <v>87</v>
      </c>
      <c r="N70" s="6" t="s">
        <v>88</v>
      </c>
      <c r="O70" s="6" t="s">
        <v>438</v>
      </c>
      <c r="P70" s="7" t="s">
        <v>90</v>
      </c>
      <c r="Q70" s="7"/>
      <c r="R70" s="6" t="s">
        <v>39</v>
      </c>
      <c r="S70" s="8"/>
      <c r="T70" s="8" t="str">
        <f aca="false">IF(S70="","",S70+14)</f>
        <v/>
      </c>
      <c r="U70" s="8"/>
      <c r="V70" s="7"/>
      <c r="W70" s="7"/>
    </row>
    <row r="71" customFormat="false" ht="33.75" hidden="false" customHeight="true" outlineLevel="0" collapsed="false">
      <c r="A71" s="6" t="n">
        <v>2</v>
      </c>
      <c r="B71" s="6" t="s">
        <v>398</v>
      </c>
      <c r="C71" s="6" t="s">
        <v>79</v>
      </c>
      <c r="D71" s="7" t="s">
        <v>467</v>
      </c>
      <c r="E71" s="6" t="s">
        <v>468</v>
      </c>
      <c r="F71" s="6" t="s">
        <v>469</v>
      </c>
      <c r="G71" s="6" t="s">
        <v>70</v>
      </c>
      <c r="H71" s="6" t="s">
        <v>470</v>
      </c>
      <c r="I71" s="7" t="s">
        <v>471</v>
      </c>
      <c r="J71" s="7" t="s">
        <v>31</v>
      </c>
      <c r="K71" s="7" t="s">
        <v>118</v>
      </c>
      <c r="L71" s="6" t="s">
        <v>105</v>
      </c>
      <c r="M71" s="6" t="s">
        <v>87</v>
      </c>
      <c r="N71" s="6" t="s">
        <v>88</v>
      </c>
      <c r="O71" s="6" t="s">
        <v>438</v>
      </c>
      <c r="P71" s="7" t="s">
        <v>90</v>
      </c>
      <c r="Q71" s="7" t="s">
        <v>472</v>
      </c>
      <c r="R71" s="6" t="s">
        <v>39</v>
      </c>
      <c r="S71" s="8"/>
      <c r="T71" s="8" t="str">
        <f aca="false">IF(S71="","",S71+14)</f>
        <v/>
      </c>
      <c r="U71" s="8"/>
      <c r="V71" s="7"/>
      <c r="W71" s="7"/>
    </row>
    <row r="72" customFormat="false" ht="33.75" hidden="false" customHeight="true" outlineLevel="0" collapsed="false">
      <c r="A72" s="6" t="n">
        <v>2</v>
      </c>
      <c r="B72" s="6" t="s">
        <v>398</v>
      </c>
      <c r="C72" s="6" t="s">
        <v>79</v>
      </c>
      <c r="D72" s="7" t="s">
        <v>473</v>
      </c>
      <c r="E72" s="6" t="s">
        <v>474</v>
      </c>
      <c r="F72" s="6" t="s">
        <v>475</v>
      </c>
      <c r="G72" s="6" t="s">
        <v>70</v>
      </c>
      <c r="H72" s="6" t="s">
        <v>476</v>
      </c>
      <c r="I72" s="7" t="s">
        <v>477</v>
      </c>
      <c r="J72" s="7" t="s">
        <v>31</v>
      </c>
      <c r="K72" s="7" t="s">
        <v>118</v>
      </c>
      <c r="L72" s="6" t="s">
        <v>105</v>
      </c>
      <c r="M72" s="6" t="s">
        <v>87</v>
      </c>
      <c r="N72" s="6" t="s">
        <v>88</v>
      </c>
      <c r="O72" s="6" t="s">
        <v>438</v>
      </c>
      <c r="P72" s="7" t="s">
        <v>90</v>
      </c>
      <c r="Q72" s="7"/>
      <c r="R72" s="6" t="s">
        <v>39</v>
      </c>
      <c r="S72" s="8"/>
      <c r="T72" s="8" t="str">
        <f aca="false">IF(S72="","",S72+14)</f>
        <v/>
      </c>
      <c r="U72" s="8"/>
      <c r="V72" s="7"/>
      <c r="W72" s="7"/>
    </row>
    <row r="73" customFormat="false" ht="33.75" hidden="false" customHeight="true" outlineLevel="0" collapsed="false">
      <c r="A73" s="6" t="n">
        <v>2</v>
      </c>
      <c r="B73" s="6" t="s">
        <v>398</v>
      </c>
      <c r="C73" s="6" t="s">
        <v>79</v>
      </c>
      <c r="D73" s="7" t="s">
        <v>478</v>
      </c>
      <c r="E73" s="6" t="s">
        <v>479</v>
      </c>
      <c r="F73" s="6" t="s">
        <v>480</v>
      </c>
      <c r="G73" s="6" t="s">
        <v>70</v>
      </c>
      <c r="H73" s="6" t="s">
        <v>481</v>
      </c>
      <c r="I73" s="7" t="s">
        <v>482</v>
      </c>
      <c r="J73" s="7" t="s">
        <v>31</v>
      </c>
      <c r="K73" s="7" t="s">
        <v>118</v>
      </c>
      <c r="L73" s="6" t="s">
        <v>105</v>
      </c>
      <c r="M73" s="6" t="s">
        <v>87</v>
      </c>
      <c r="N73" s="6" t="s">
        <v>88</v>
      </c>
      <c r="O73" s="6" t="s">
        <v>438</v>
      </c>
      <c r="P73" s="7" t="s">
        <v>90</v>
      </c>
      <c r="Q73" s="7"/>
      <c r="R73" s="6" t="s">
        <v>39</v>
      </c>
      <c r="S73" s="8"/>
      <c r="T73" s="8" t="str">
        <f aca="false">IF(S73="","",S73+14)</f>
        <v/>
      </c>
      <c r="U73" s="8"/>
      <c r="V73" s="7"/>
      <c r="W73" s="7"/>
    </row>
  </sheetData>
  <autoFilter ref="A1:W73"/>
  <dataValidations count="1">
    <dataValidation allowBlank="true" errorStyle="stop" operator="between" showDropDown="false" showErrorMessage="false" showInputMessage="false" sqref="R2:R73" type="list">
      <formula1>"не отправлено,отправлено,ответ: да,ответ: нет,ответ: не по правилам,нет ответа,повтор отправлен,исключён"</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8"/>
  </cols>
  <sheetData>
    <row r="1" customFormat="false" ht="16.15" hidden="false" customHeight="false" outlineLevel="0" collapsed="false">
      <c r="A1" s="10" t="s">
        <v>483</v>
      </c>
    </row>
    <row r="3" customFormat="false" ht="43.5" hidden="false" customHeight="true" outlineLevel="0" collapsed="false">
      <c r="A3" s="11" t="s">
        <v>484</v>
      </c>
      <c r="B3" s="12" t="s">
        <v>485</v>
      </c>
    </row>
    <row r="4" customFormat="false" ht="43.5" hidden="false" customHeight="true" outlineLevel="0" collapsed="false">
      <c r="A4" s="11" t="s">
        <v>486</v>
      </c>
      <c r="B4" s="12" t="s">
        <v>487</v>
      </c>
    </row>
    <row r="5" customFormat="false" ht="43.5" hidden="false" customHeight="true" outlineLevel="0" collapsed="false">
      <c r="A5" s="11" t="s">
        <v>488</v>
      </c>
      <c r="B5" s="12" t="s">
        <v>89</v>
      </c>
    </row>
    <row r="6" customFormat="false" ht="43.5" hidden="false" customHeight="true" outlineLevel="0" collapsed="false">
      <c r="A6" s="11" t="s">
        <v>489</v>
      </c>
      <c r="B6" s="12" t="s">
        <v>147</v>
      </c>
    </row>
    <row r="7" customFormat="false" ht="43.5" hidden="false" customHeight="true" outlineLevel="0" collapsed="false">
      <c r="A7" s="11" t="s">
        <v>490</v>
      </c>
      <c r="B7" s="12" t="s">
        <v>320</v>
      </c>
    </row>
    <row r="8" customFormat="false" ht="43.5" hidden="false" customHeight="true" outlineLevel="0" collapsed="false">
      <c r="A8" s="11" t="s">
        <v>491</v>
      </c>
      <c r="B8" s="12" t="s">
        <v>438</v>
      </c>
    </row>
    <row r="9" customFormat="false" ht="199.5" hidden="false" customHeight="true" outlineLevel="0" collapsed="false">
      <c r="A9" s="11" t="s">
        <v>492</v>
      </c>
      <c r="B9" s="12" t="s">
        <v>90</v>
      </c>
    </row>
    <row r="10" customFormat="false" ht="43.5" hidden="false" customHeight="true" outlineLevel="0" collapsed="false">
      <c r="A10" s="11" t="s">
        <v>493</v>
      </c>
      <c r="B10" s="12" t="s">
        <v>494</v>
      </c>
    </row>
    <row r="11" customFormat="false" ht="43.5" hidden="false" customHeight="true" outlineLevel="0" collapsed="false">
      <c r="A11" s="11" t="s">
        <v>495</v>
      </c>
      <c r="B11" s="12" t="s">
        <v>36</v>
      </c>
    </row>
    <row r="12" customFormat="false" ht="43.5" hidden="false" customHeight="true" outlineLevel="0" collapsed="false">
      <c r="A12" s="11" t="s">
        <v>496</v>
      </c>
      <c r="B12" s="12" t="s">
        <v>243</v>
      </c>
    </row>
    <row r="13" customFormat="false" ht="43.5" hidden="false" customHeight="true" outlineLevel="0" collapsed="false">
      <c r="A13" s="11" t="s">
        <v>497</v>
      </c>
      <c r="B13" s="12" t="s">
        <v>406</v>
      </c>
    </row>
    <row r="14" customFormat="false" ht="199.5" hidden="false" customHeight="true" outlineLevel="0" collapsed="false">
      <c r="A14" s="11" t="s">
        <v>498</v>
      </c>
      <c r="B14" s="12" t="s">
        <v>37</v>
      </c>
    </row>
    <row r="15" customFormat="false" ht="43.5" hidden="false" customHeight="true" outlineLevel="0" collapsed="false">
      <c r="A15" s="11" t="s">
        <v>499</v>
      </c>
      <c r="B15" s="12" t="s">
        <v>500</v>
      </c>
    </row>
    <row r="16" customFormat="false" ht="43.5" hidden="false" customHeight="true" outlineLevel="0" collapsed="false">
      <c r="A16" s="11" t="s">
        <v>501</v>
      </c>
      <c r="B16" s="12" t="s">
        <v>502</v>
      </c>
    </row>
    <row r="17" customFormat="false" ht="43.5" hidden="false" customHeight="true" outlineLevel="0" collapsed="false">
      <c r="A17" s="11" t="s">
        <v>503</v>
      </c>
      <c r="B17" s="12" t="s">
        <v>504</v>
      </c>
    </row>
    <row r="18" customFormat="false" ht="43.5" hidden="false" customHeight="true" outlineLevel="0" collapsed="false">
      <c r="A18" s="11" t="s">
        <v>505</v>
      </c>
      <c r="B18" s="12"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8"/>
  </cols>
  <sheetData>
    <row r="1" customFormat="false" ht="16.15" hidden="false" customHeight="false" outlineLevel="0" collapsed="false">
      <c r="A1" s="10" t="s">
        <v>507</v>
      </c>
    </row>
    <row r="3" customFormat="false" ht="51.75" hidden="false" customHeight="true" outlineLevel="0" collapsed="false">
      <c r="A3" s="11" t="s">
        <v>508</v>
      </c>
      <c r="B3" s="12" t="s">
        <v>509</v>
      </c>
    </row>
    <row r="4" customFormat="false" ht="51.75" hidden="false" customHeight="true" outlineLevel="0" collapsed="false">
      <c r="A4" s="11" t="s">
        <v>19</v>
      </c>
      <c r="B4" s="12" t="s">
        <v>510</v>
      </c>
    </row>
    <row r="5" customFormat="false" ht="51.75" hidden="false" customHeight="true" outlineLevel="0" collapsed="false">
      <c r="A5" s="11" t="s">
        <v>511</v>
      </c>
      <c r="B5" s="12" t="s">
        <v>512</v>
      </c>
    </row>
    <row r="6" customFormat="false" ht="51.75" hidden="false" customHeight="true" outlineLevel="0" collapsed="false">
      <c r="A6" s="11" t="s">
        <v>513</v>
      </c>
      <c r="B6" s="12" t="s">
        <v>514</v>
      </c>
    </row>
    <row r="7" customFormat="false" ht="51.75" hidden="false" customHeight="true" outlineLevel="0" collapsed="false">
      <c r="A7" s="11" t="s">
        <v>515</v>
      </c>
      <c r="B7" s="12" t="s">
        <v>516</v>
      </c>
    </row>
    <row r="8" customFormat="false" ht="51.75" hidden="false" customHeight="true" outlineLevel="0" collapsed="false">
      <c r="A8" s="11" t="s">
        <v>517</v>
      </c>
      <c r="B8" s="12" t="s">
        <v>518</v>
      </c>
    </row>
    <row r="9" customFormat="false" ht="51.75" hidden="false" customHeight="true" outlineLevel="0" collapsed="false">
      <c r="A9" s="11" t="s">
        <v>519</v>
      </c>
      <c r="B9" s="12" t="s">
        <v>520</v>
      </c>
    </row>
    <row r="10" customFormat="false" ht="51.75" hidden="false" customHeight="true" outlineLevel="0" collapsed="false">
      <c r="A10" s="11" t="s">
        <v>521</v>
      </c>
      <c r="B10" s="12" t="s">
        <v>522</v>
      </c>
    </row>
    <row r="11" customFormat="false" ht="51.75" hidden="false" customHeight="true" outlineLevel="0" collapsed="false">
      <c r="A11" s="11" t="s">
        <v>523</v>
      </c>
      <c r="B11" s="12" t="s">
        <v>524</v>
      </c>
    </row>
    <row r="12" customFormat="false" ht="51.75" hidden="false" customHeight="true" outlineLevel="0" collapsed="false">
      <c r="A12" s="11" t="s">
        <v>525</v>
      </c>
      <c r="B12" s="12" t="s">
        <v>526</v>
      </c>
    </row>
    <row r="13" customFormat="false" ht="51.75" hidden="false" customHeight="true" outlineLevel="0" collapsed="false">
      <c r="A13" s="11" t="s">
        <v>527</v>
      </c>
      <c r="B13" s="12" t="s">
        <v>528</v>
      </c>
    </row>
    <row r="14" customFormat="false" ht="51.75" hidden="false" customHeight="true" outlineLevel="0" collapsed="false">
      <c r="A14" s="11" t="s">
        <v>11</v>
      </c>
      <c r="B14" s="12" t="s">
        <v>529</v>
      </c>
    </row>
    <row r="15" customFormat="false" ht="51.75" hidden="false" customHeight="true" outlineLevel="0" collapsed="false">
      <c r="A15" s="11" t="s">
        <v>530</v>
      </c>
      <c r="B15" s="12" t="s">
        <v>531</v>
      </c>
    </row>
    <row r="16" customFormat="false" ht="51.75" hidden="false" customHeight="true" outlineLevel="0" collapsed="false">
      <c r="A16" s="11" t="s">
        <v>532</v>
      </c>
      <c r="B16" s="12" t="s">
        <v>533</v>
      </c>
    </row>
    <row r="17" customFormat="false" ht="51.75" hidden="false" customHeight="true" outlineLevel="0" collapsed="false">
      <c r="A17" s="11" t="s">
        <v>534</v>
      </c>
      <c r="B17" s="12" t="s">
        <v>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s>
  <sheetData>
    <row r="1" customFormat="false" ht="16.15" hidden="false" customHeight="false" outlineLevel="0" collapsed="false">
      <c r="A1" s="10" t="s">
        <v>536</v>
      </c>
    </row>
    <row r="3" customFormat="false" ht="15" hidden="false" customHeight="false" outlineLevel="0" collapsed="false">
      <c r="A3" s="13" t="s">
        <v>537</v>
      </c>
      <c r="B3" s="14" t="n">
        <f aca="false">COUNTA(Рассылка!D2:D73)</f>
        <v>72</v>
      </c>
    </row>
    <row r="4" customFormat="false" ht="15" hidden="false" customHeight="false" outlineLevel="0" collapsed="false">
      <c r="A4" s="13" t="s">
        <v>538</v>
      </c>
      <c r="B4" s="14" t="n">
        <f aca="false">COUNTIF(Рассылка!A2:A73,1)</f>
        <v>13</v>
      </c>
    </row>
    <row r="5" customFormat="false" ht="15" hidden="false" customHeight="false" outlineLevel="0" collapsed="false">
      <c r="A5" s="13" t="s">
        <v>539</v>
      </c>
      <c r="B5" s="14" t="n">
        <f aca="false">COUNTIF(Рассылка!A2:A73,2)</f>
        <v>59</v>
      </c>
    </row>
    <row r="6" customFormat="false" ht="15" hidden="false" customHeight="false" outlineLevel="0" collapsed="false">
      <c r="A6" s="13" t="s">
        <v>540</v>
      </c>
      <c r="B6" s="14" t="n">
        <f aca="false">COUNTIF(Рассылка!C2:C73,"юрфирма")</f>
        <v>32</v>
      </c>
    </row>
    <row r="7" customFormat="false" ht="15" hidden="false" customHeight="false" outlineLevel="0" collapsed="false">
      <c r="A7" s="13" t="s">
        <v>541</v>
      </c>
      <c r="B7" s="14" t="n">
        <f aca="false">COUNTIF(Рассылка!C2:C73,"не юрфирма")</f>
        <v>40</v>
      </c>
    </row>
    <row r="8" customFormat="false" ht="15" hidden="false" customHeight="false" outlineLevel="0" collapsed="false">
      <c r="A8" s="13" t="s">
        <v>486</v>
      </c>
      <c r="B8" s="14" t="n">
        <f aca="false">COUNTIF(Рассылка!M2:M73,"A")</f>
        <v>47</v>
      </c>
    </row>
    <row r="9" customFormat="false" ht="15" hidden="false" customHeight="false" outlineLevel="0" collapsed="false">
      <c r="A9" s="13" t="s">
        <v>493</v>
      </c>
      <c r="B9" s="14" t="n">
        <f aca="false">COUNTIF(Рассылка!M2:M73,"B")</f>
        <v>25</v>
      </c>
    </row>
    <row r="10" customFormat="false" ht="15" hidden="false" customHeight="false" outlineLevel="0" collapsed="false">
      <c r="A10" s="13" t="s">
        <v>542</v>
      </c>
      <c r="B10" s="14" t="n">
        <f aca="false">COUNTIF(Рассылка!G2:G73,"email")</f>
        <v>54</v>
      </c>
    </row>
    <row r="11" customFormat="false" ht="15" hidden="false" customHeight="false" outlineLevel="0" collapsed="false">
      <c r="A11" s="13" t="s">
        <v>543</v>
      </c>
      <c r="B11" s="14" t="n">
        <f aca="false">COUNTIF(Рассылка!G2:G73,"форма")</f>
        <v>14</v>
      </c>
    </row>
    <row r="12" customFormat="false" ht="15" hidden="false" customHeight="false" outlineLevel="0" collapsed="false">
      <c r="A12" s="13" t="s">
        <v>544</v>
      </c>
      <c r="B12" s="14" t="n">
        <f aca="false">COUNTIF(Рассылка!G2:G73,"не найден")</f>
        <v>4</v>
      </c>
    </row>
    <row r="13" customFormat="false" ht="15" hidden="false" customHeight="false" outlineLevel="0" collapsed="false">
      <c r="A13" s="13" t="s">
        <v>23</v>
      </c>
      <c r="B13" s="14" t="n">
        <f aca="false">COUNTIF(Рассылка!B2:B73,"Португалия")</f>
        <v>16</v>
      </c>
    </row>
    <row r="14" customFormat="false" ht="15" hidden="false" customHeight="false" outlineLevel="0" collapsed="false">
      <c r="A14" s="13" t="s">
        <v>139</v>
      </c>
      <c r="B14" s="14" t="n">
        <f aca="false">COUNTIF(Рассылка!B2:B73,"Греция")</f>
        <v>15</v>
      </c>
    </row>
    <row r="15" customFormat="false" ht="15" hidden="false" customHeight="false" outlineLevel="0" collapsed="false">
      <c r="A15" s="13" t="s">
        <v>235</v>
      </c>
      <c r="B15" s="14" t="n">
        <f aca="false">COUNTIF(Рассылка!B2:B73,"Мальта")</f>
        <v>28</v>
      </c>
    </row>
    <row r="16" customFormat="false" ht="15" hidden="false" customHeight="false" outlineLevel="0" collapsed="false">
      <c r="A16" s="13" t="s">
        <v>398</v>
      </c>
      <c r="B16" s="14" t="n">
        <f aca="false">COUNTIF(Рассылка!B2:B73,"ОАЭ")</f>
        <v>13</v>
      </c>
    </row>
    <row r="17" customFormat="false" ht="15" hidden="false" customHeight="false" outlineLevel="0" collapsed="false">
      <c r="A17" s="13" t="s">
        <v>545</v>
      </c>
      <c r="B17" s="14" t="n">
        <f aca="false">COUNTIF(Рассылка!R2:R73,"отправлено")</f>
        <v>0</v>
      </c>
    </row>
    <row r="18" customFormat="false" ht="15" hidden="false" customHeight="false" outlineLevel="0" collapsed="false">
      <c r="A18" s="13" t="s">
        <v>546</v>
      </c>
      <c r="B18" s="14" t="n">
        <f aca="false">COUNTIF(Рассылка!R2:R73,"ответ: да")</f>
        <v>0</v>
      </c>
    </row>
    <row r="19" customFormat="false" ht="15" hidden="false" customHeight="false" outlineLevel="0" collapsed="false">
      <c r="A19" s="13" t="s">
        <v>547</v>
      </c>
      <c r="B19" s="14" t="n">
        <f aca="false">COUNTIF(Рассылка!R2:R73,"ответ: нет")</f>
        <v>0</v>
      </c>
    </row>
    <row r="20" customFormat="false" ht="15" hidden="false" customHeight="false" outlineLevel="0" collapsed="false">
      <c r="A20" s="13" t="s">
        <v>548</v>
      </c>
      <c r="B20" s="14" t="n">
        <f aca="false">COUNTIF(Рассылка!R2:R73,"нет ответа")</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2026-09-01T17:17:24Z</dcterms:created>
  <dc:creator>openpyxl</dc:creator>
  <dc:description/>
  <dc:language>en-US</dc:language>
  <cp:lastModifiedBy/>
  <dcterms:modified xsi:type="dcterms:W3CDTF">2026-09-01T17:17:24Z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